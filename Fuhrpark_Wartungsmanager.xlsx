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nleitung" sheetId="1" state="visible" r:id="rId1"/>
    <sheet name="Dashboard" sheetId="2" state="visible" r:id="rId2"/>
    <sheet name="Fahrzeuge" sheetId="3" state="visible" r:id="rId3"/>
    <sheet name="Wartungsplan" sheetId="4" state="visible" r:id="rId4"/>
    <sheet name="Wartungshistorie" sheetId="5" state="visible" r:id="rId5"/>
    <sheet name="Kostenübersicht" sheetId="6" state="visible" r:id="rId6"/>
    <sheet name="Intervall-Vorlagen" sheetId="7" state="visible" r:id="rId7"/>
    <sheet name="Listen" sheetId="8" state="visible" r:id="rId8"/>
  </sheets>
  <definedNames>
    <definedName name="L_Typ">Listen!$A$4:$A$8</definedName>
    <definedName name="L_Wartung">Listen!$B$4:$B$16</definedName>
    <definedName name="L_Status">Listen!$C$4:$C$7</definedName>
    <definedName name="L_Kosten">Listen!$D$4:$D$11</definedName>
    <definedName name="L_Kraft">Listen!$E$4:$E$9</definedName>
    <definedName name="F_Kennz">Fahrzeuge!$A$4:$A$200</definedName>
    <definedName name="F_KM">Fahrzeuge!$J$4:$J$200</definedName>
    <definedName name="F_Tabelle">Fahrzeuge!$A$4:$O$200</definedName>
    <definedName name="H_Kennz">Wartungshistorie!$B$4:$B$500</definedName>
    <definedName name="H_Kat">Wartungshistorie!$E$4:$E$500</definedName>
    <definedName name="H_Kosten">Wartungshistorie!$I$4:$I$500</definedName>
    <definedName name="H_Datum">Wartungshistorie!$A$4:$A$500</definedName>
    <definedName name="_xlnm._FilterDatabase" localSheetId="2" hidden="1">'Fahrzeuge'!$A$3:$O$200</definedName>
    <definedName name="_xlnm._FilterDatabase" localSheetId="3" hidden="1">'Wartungsplan'!$A$3:$N$300</definedName>
    <definedName name="_xlnm._FilterDatabase" localSheetId="4" hidden="1">'Wartungshistorie'!$A$3:$K$500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€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sz val="10"/>
    </font>
    <font>
      <name val="Calibri"/>
      <b val="1"/>
      <color rgb="001F3864"/>
      <sz val="13"/>
    </font>
    <font>
      <b val="1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i val="1"/>
      <color rgb="00808080"/>
      <sz val="9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1F3864"/>
      <sz val="11"/>
    </font>
    <font>
      <b val="1"/>
      <color rgb="002E5496"/>
      <sz val="22"/>
    </font>
    <font>
      <b val="1"/>
      <color rgb="00C00000"/>
      <sz val="22"/>
    </font>
    <font>
      <b val="1"/>
      <color rgb="009C6500"/>
      <sz val="22"/>
    </font>
    <font>
      <b val="1"/>
      <color rgb="00006100"/>
      <sz val="22"/>
    </font>
    <font>
      <b val="1"/>
      <color rgb="00ED7D31"/>
      <sz val="22"/>
    </font>
    <font>
      <b val="1"/>
      <color rgb="001F3864"/>
      <sz val="22"/>
    </font>
    <font>
      <i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D6E0F0"/>
      </patternFill>
    </fill>
    <fill>
      <patternFill patternType="solid">
        <fgColor rgb="008EAADB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9C6500"/>
      </patternFill>
    </fill>
    <fill>
      <patternFill patternType="solid">
        <fgColor rgb="000061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12" borderId="1" applyAlignment="1" pivotButton="0" quotePrefix="0" xfId="0">
      <alignment horizontal="left" vertical="center" indent="1"/>
    </xf>
    <xf numFmtId="3" fontId="12" fillId="8" borderId="1" applyAlignment="1" pivotButton="0" quotePrefix="0" xfId="0">
      <alignment horizontal="center" vertical="center"/>
    </xf>
    <xf numFmtId="3" fontId="13" fillId="8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left" vertical="center" indent="1"/>
    </xf>
    <xf numFmtId="3" fontId="14" fillId="8" borderId="1" applyAlignment="1" pivotButton="0" quotePrefix="0" xfId="0">
      <alignment horizontal="center" vertical="center"/>
    </xf>
    <xf numFmtId="3" fontId="15" fillId="8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left" vertical="center" indent="1"/>
    </xf>
    <xf numFmtId="3" fontId="16" fillId="8" borderId="1" applyAlignment="1" pivotButton="0" quotePrefix="0" xfId="0">
      <alignment horizontal="center" vertical="center"/>
    </xf>
    <xf numFmtId="166" fontId="17" fillId="8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3" fontId="0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3" fontId="0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165" fontId="0" fillId="9" borderId="1" pivotButton="0" quotePrefix="0" xfId="0"/>
    <xf numFmtId="3" fontId="0" fillId="9" borderId="1" pivotButton="0" quotePrefix="0" xfId="0"/>
    <xf numFmtId="0" fontId="0" fillId="8" borderId="1" pivotButton="0" quotePrefix="0" xfId="0"/>
    <xf numFmtId="165" fontId="0" fillId="8" borderId="1" pivotButton="0" quotePrefix="0" xfId="0"/>
    <xf numFmtId="3" fontId="0" fillId="8" borderId="1" pivotButton="0" quotePrefix="0" xfId="0"/>
    <xf numFmtId="3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6" fontId="0" fillId="9" borderId="1" applyAlignment="1" pivotButton="0" quotePrefix="0" xfId="0">
      <alignment horizontal="center" vertical="center" wrapText="1"/>
    </xf>
    <xf numFmtId="166" fontId="0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6" fontId="0" fillId="4" borderId="1" applyAlignment="1" pivotButton="0" quotePrefix="0" xfId="0">
      <alignment horizontal="center" vertical="center" wrapText="1"/>
    </xf>
    <xf numFmtId="0" fontId="6" fillId="11" borderId="1" pivotButton="0" quotePrefix="0" xfId="0"/>
    <xf numFmtId="0" fontId="6" fillId="11" borderId="1" applyAlignment="1" pivotButton="0" quotePrefix="0" xfId="0">
      <alignment horizontal="center" vertical="center" wrapText="1"/>
    </xf>
    <xf numFmtId="166" fontId="6" fillId="11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5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Kosten je Kategorie (€)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'Kostenübersicht'!G4</f>
            </strRef>
          </tx>
          <spPr>
            <a:ln>
              <a:prstDash val="solid"/>
            </a:ln>
          </spPr>
          <cat>
            <numRef>
              <f>'Kostenübersicht'!$F$5:$F$12</f>
            </numRef>
          </cat>
          <val>
            <numRef>
              <f>'Kostenübersicht'!$G$5:$G$12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Kostenanteil je Fahrzeug</a:t>
            </a:r>
          </a:p>
        </rich>
      </tx>
    </title>
    <plotArea>
      <pieChart>
        <varyColors val="1"/>
        <ser>
          <idx val="0"/>
          <order val="0"/>
          <tx>
            <strRef>
              <f>'Kostenübersicht'!D4</f>
            </strRef>
          </tx>
          <spPr>
            <a:ln>
              <a:prstDash val="solid"/>
            </a:ln>
          </spPr>
          <cat>
            <numRef>
              <f>'Kostenübersicht'!$B$5:$B$10</f>
            </numRef>
          </cat>
          <val>
            <numRef>
              <f>'Kostenübersicht'!$D$5:$D$10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EAADB"/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3" customWidth="1" min="4" max="4"/>
  </cols>
  <sheetData>
    <row r="1" ht="36" customHeight="1">
      <c r="A1" s="1" t="inlineStr">
        <is>
          <t>🚚  FUHRPARK- &amp; WARTUNGSMANAGER</t>
        </is>
      </c>
    </row>
    <row r="2" ht="18" customHeight="1">
      <c r="A2" s="2" t="inlineStr">
        <is>
          <t>Professionelle Verwaltung von PKW-, Transporter- und LKW-Flotten</t>
        </is>
      </c>
    </row>
    <row r="3">
      <c r="B3" s="3" t="inlineStr"/>
      <c r="C3" s="3" t="inlineStr"/>
    </row>
    <row r="4" ht="24" customHeight="1">
      <c r="B4" s="4" t="inlineStr">
        <is>
          <t>📋 So funktioniert die Datei</t>
        </is>
      </c>
    </row>
    <row r="5">
      <c r="B5" s="5" t="inlineStr">
        <is>
          <t>Diese Arbeitsmappe verwaltet Ihren kompletten Fuhrpark – egal ob 3 oder 300 Fahrzeuge. Alle Berechnungen, Erinnerungen und Kostenauswertungen laufen automatisch.</t>
        </is>
      </c>
      <c r="C5" s="3" t="inlineStr"/>
    </row>
    <row r="6">
      <c r="B6" s="3" t="inlineStr"/>
      <c r="C6" s="3" t="inlineStr"/>
    </row>
    <row r="7" ht="20" customHeight="1">
      <c r="B7" s="6" t="inlineStr">
        <is>
          <t>Arbeitsblatt</t>
        </is>
      </c>
      <c r="C7" s="6" t="inlineStr">
        <is>
          <t>Wofür Sie es nutzen</t>
        </is>
      </c>
    </row>
    <row r="8">
      <c r="B8" s="7" t="inlineStr">
        <is>
          <t>① Dashboard</t>
        </is>
      </c>
      <c r="C8" s="8" t="inlineStr">
        <is>
          <t>Überblick auf einen Blick: Anzahl Fahrzeuge, fällige Wartungen, Gesamtkosten.</t>
        </is>
      </c>
    </row>
    <row r="9">
      <c r="B9" s="7" t="inlineStr">
        <is>
          <t>② Fahrzeuge</t>
        </is>
      </c>
      <c r="C9" s="8" t="inlineStr">
        <is>
          <t>Stammdaten jedes Fahrzeugs (Kennzeichen, Typ, km-Stand, TÜV …). HIER zuerst eintragen.</t>
        </is>
      </c>
    </row>
    <row r="10">
      <c r="B10" s="7" t="inlineStr">
        <is>
          <t>③ Wartungsplan</t>
        </is>
      </c>
      <c r="C10" s="8" t="inlineStr">
        <is>
          <t>Pro Fahrzeug die nächsten Wartungen. Ampel zeigt automatisch, was fällig ist.</t>
        </is>
      </c>
    </row>
    <row r="11">
      <c r="B11" s="7" t="inlineStr">
        <is>
          <t>④ Wartungshistorie</t>
        </is>
      </c>
      <c r="C11" s="8" t="inlineStr">
        <is>
          <t>Protokoll aller durchgeführten Arbeiten inkl. Werkstatt &amp; Kosten.</t>
        </is>
      </c>
    </row>
    <row r="12">
      <c r="B12" s="7" t="inlineStr">
        <is>
          <t>⑤ Kostenübersicht</t>
        </is>
      </c>
      <c r="C12" s="8" t="inlineStr">
        <is>
          <t>Auswertung der Kosten je Fahrzeug, Kategorie und Monat.</t>
        </is>
      </c>
    </row>
    <row r="13">
      <c r="B13" s="7" t="inlineStr">
        <is>
          <t>⑥ Intervall-Vorlagen</t>
        </is>
      </c>
      <c r="C13" s="8" t="inlineStr">
        <is>
          <t>Empfohlene Wartungsintervalle als Nachschlagewerk.</t>
        </is>
      </c>
    </row>
    <row r="14">
      <c r="B14" s="7" t="inlineStr">
        <is>
          <t>⑦ Listen</t>
        </is>
      </c>
      <c r="C14" s="8" t="inlineStr">
        <is>
          <t>Auswahllisten für die Dropdown-Menüs (kann angepasst werden).</t>
        </is>
      </c>
    </row>
    <row r="15">
      <c r="B15" s="3" t="inlineStr"/>
      <c r="C15" s="3" t="inlineStr"/>
    </row>
    <row r="16" ht="24" customHeight="1">
      <c r="B16" s="4" t="inlineStr">
        <is>
          <t>🟢🟡🔴 Ampel-System</t>
        </is>
      </c>
    </row>
    <row r="17">
      <c r="B17" s="9" t="inlineStr">
        <is>
          <t>🟢 OK</t>
        </is>
      </c>
      <c r="C17" s="3" t="inlineStr">
        <is>
          <t>Wartung liegt in der Zukunft – nichts zu tun.</t>
        </is>
      </c>
    </row>
    <row r="18">
      <c r="B18" s="10" t="inlineStr">
        <is>
          <t>🟡 Bald fällig</t>
        </is>
      </c>
      <c r="C18" s="3" t="inlineStr">
        <is>
          <t>Innerhalb der nächsten 30 Tage oder 1.000 km fällig – einplanen.</t>
        </is>
      </c>
    </row>
    <row r="19">
      <c r="B19" s="11" t="inlineStr">
        <is>
          <t>🔴 Überfällig</t>
        </is>
      </c>
      <c r="C19" s="3" t="inlineStr">
        <is>
          <t>Termin oder km-Grenze überschritten – sofort handeln!</t>
        </is>
      </c>
    </row>
    <row r="20">
      <c r="B20" s="3" t="inlineStr"/>
      <c r="C20" s="3" t="inlineStr"/>
    </row>
    <row r="21" ht="24" customHeight="1">
      <c r="B21" s="4" t="inlineStr">
        <is>
          <t>💡 Tipps</t>
        </is>
      </c>
    </row>
    <row r="22">
      <c r="B22" s="5" t="inlineStr">
        <is>
          <t>• Gelb/grau hinterlegte Felder enthalten Formeln – bitte nicht überschreiben.</t>
        </is>
      </c>
      <c r="C22" s="3" t="inlineStr"/>
    </row>
    <row r="23">
      <c r="B23" s="5" t="inlineStr">
        <is>
          <t>• Nur die weißen Eingabefelder ausfüllen; Dropdowns per Klick auf den Pfeil nutzen.</t>
        </is>
      </c>
      <c r="C23" s="3" t="inlineStr"/>
    </row>
    <row r="24">
      <c r="B24" s="5" t="inlineStr">
        <is>
          <t>• km-Stände regelmäßig im Blatt „Fahrzeuge“ aktualisieren – davon hängen die Erinnerungen ab.</t>
        </is>
      </c>
      <c r="C24" s="3" t="inlineStr"/>
    </row>
    <row r="25">
      <c r="B25" s="5" t="inlineStr">
        <is>
          <t>• Neue Zeilen einfach unter den Beispielen ergänzen; Formeln nach unten ziehen.</t>
        </is>
      </c>
      <c r="C25" s="3" t="inlineStr"/>
    </row>
    <row r="26">
      <c r="B26" s="3" t="inlineStr"/>
      <c r="C26" s="3" t="inlineStr"/>
    </row>
    <row r="27">
      <c r="B27" s="12" t="inlineStr">
        <is>
          <t>Erstellt am</t>
        </is>
      </c>
      <c r="C27" s="12" t="inlineStr">
        <is>
          <t>13.06.2026</t>
        </is>
      </c>
    </row>
  </sheetData>
  <mergeCells count="5">
    <mergeCell ref="A1:D1"/>
    <mergeCell ref="B21:C21"/>
    <mergeCell ref="B16:C16"/>
    <mergeCell ref="A2:D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3" customWidth="1" min="4" max="4"/>
    <col width="26" customWidth="1" min="5" max="5"/>
    <col width="18" customWidth="1" min="6" max="6"/>
    <col width="3" customWidth="1" min="7" max="7"/>
  </cols>
  <sheetData>
    <row r="1" ht="36" customHeight="1">
      <c r="A1" s="1" t="inlineStr">
        <is>
          <t>📊  FUHRPARK-DASHBOARD</t>
        </is>
      </c>
    </row>
    <row r="2" ht="18" customHeight="1">
      <c r="A2" s="2" t="inlineStr">
        <is>
          <t>Stand: heute  •  automatische Übersicht</t>
        </is>
      </c>
    </row>
    <row r="4" ht="22" customHeight="1">
      <c r="B4" s="13" t="inlineStr">
        <is>
          <t>Fahrzeuge gesamt</t>
        </is>
      </c>
      <c r="C4" s="14" t="n"/>
      <c r="E4" s="15" t="inlineStr">
        <is>
          <t>🔴 Überfällige Wartungen</t>
        </is>
      </c>
      <c r="F4" s="14" t="n"/>
    </row>
    <row r="5" ht="40" customHeight="1">
      <c r="B5" s="16">
        <f>COUNTA(F_Kennz)-COUNTBLANK(F_Kennz)</f>
        <v/>
      </c>
      <c r="C5" s="14" t="n"/>
      <c r="E5" s="17">
        <f>COUNTIF(Wartungsplan!$M$4:$M$300,"*🔴*")</f>
        <v/>
      </c>
      <c r="F5" s="14" t="n"/>
    </row>
    <row r="7" ht="22" customHeight="1">
      <c r="B7" s="18" t="inlineStr">
        <is>
          <t>🟡 Bald fällige Wartungen</t>
        </is>
      </c>
      <c r="C7" s="14" t="n"/>
      <c r="E7" s="19" t="inlineStr">
        <is>
          <t>🟢 Wartungen OK</t>
        </is>
      </c>
      <c r="F7" s="14" t="n"/>
    </row>
    <row r="8" ht="40" customHeight="1">
      <c r="B8" s="20">
        <f>COUNTIF(Wartungsplan!$M$4:$M$300,"*🟡*")</f>
        <v/>
      </c>
      <c r="C8" s="14" t="n"/>
      <c r="E8" s="21">
        <f>COUNTIF(Wartungsplan!$M$4:$M$300,"*🟢*")</f>
        <v/>
      </c>
      <c r="F8" s="14" t="n"/>
    </row>
    <row r="10" ht="22" customHeight="1">
      <c r="B10" s="22" t="inlineStr">
        <is>
          <t>TÜV/HU &lt; 30 Tage</t>
        </is>
      </c>
      <c r="C10" s="14" t="n"/>
      <c r="E10" s="23" t="inlineStr">
        <is>
          <t>Gesamtkosten (€)</t>
        </is>
      </c>
      <c r="F10" s="14" t="n"/>
    </row>
    <row r="11" ht="40" customHeight="1">
      <c r="B11" s="24">
        <f>COUNTIFS(Fahrzeuge!$M$4:$M$200,"&gt;="&amp;TODAY(),Fahrzeuge!$M$4:$M$200,"&lt;="&amp;TODAY()+30)</f>
        <v/>
      </c>
      <c r="C11" s="14" t="n"/>
      <c r="E11" s="25">
        <f>SUM(H_Kosten)</f>
        <v/>
      </c>
      <c r="F11" s="14" t="n"/>
    </row>
    <row r="13" ht="22" customHeight="1">
      <c r="B13" s="26" t="inlineStr">
        <is>
          <t>➜ Details zu fälligen Wartungen im Blatt „Wartungsplan“  •  Kosten im Blatt „Kostenübersicht“</t>
        </is>
      </c>
    </row>
    <row r="15">
      <c r="B15" s="27" t="inlineStr">
        <is>
          <t>🔔 Nächste/überfällige Wartungen (siehe „Wartungsplan“)</t>
        </is>
      </c>
    </row>
    <row r="16" ht="20" customHeight="1">
      <c r="B16" s="28" t="inlineStr">
        <is>
          <t>Kennzeichen</t>
        </is>
      </c>
      <c r="C16" s="28" t="inlineStr">
        <is>
          <t>Wartungsart</t>
        </is>
      </c>
      <c r="D16" s="28" t="inlineStr">
        <is>
          <t>Nächste Wartung</t>
        </is>
      </c>
      <c r="E16" s="28" t="inlineStr">
        <is>
          <t>Rest-Tage</t>
        </is>
      </c>
      <c r="F16" s="28" t="inlineStr">
        <is>
          <t>Status</t>
        </is>
      </c>
    </row>
    <row r="17">
      <c r="B17" s="29">
        <f>IF(Wartungsplan!A4="","",Wartungsplan!A4)</f>
        <v/>
      </c>
      <c r="C17" s="29">
        <f>IF(Wartungsplan!C4="","",Wartungsplan!C4)</f>
        <v/>
      </c>
      <c r="D17" s="30">
        <f>IF(Wartungsplan!I4="","",Wartungsplan!I4)</f>
        <v/>
      </c>
      <c r="E17" s="29">
        <f>IF(Wartungsplan!J4="","",Wartungsplan!J4)</f>
        <v/>
      </c>
      <c r="F17" s="29">
        <f>IF(Wartungsplan!M4="","",Wartungsplan!M4)</f>
        <v/>
      </c>
    </row>
    <row r="18">
      <c r="B18" s="31">
        <f>IF(Wartungsplan!A5="","",Wartungsplan!A5)</f>
        <v/>
      </c>
      <c r="C18" s="31">
        <f>IF(Wartungsplan!C5="","",Wartungsplan!C5)</f>
        <v/>
      </c>
      <c r="D18" s="32">
        <f>IF(Wartungsplan!I5="","",Wartungsplan!I5)</f>
        <v/>
      </c>
      <c r="E18" s="31">
        <f>IF(Wartungsplan!J5="","",Wartungsplan!J5)</f>
        <v/>
      </c>
      <c r="F18" s="31">
        <f>IF(Wartungsplan!M5="","",Wartungsplan!M5)</f>
        <v/>
      </c>
    </row>
    <row r="19">
      <c r="B19" s="29">
        <f>IF(Wartungsplan!A6="","",Wartungsplan!A6)</f>
        <v/>
      </c>
      <c r="C19" s="29">
        <f>IF(Wartungsplan!C6="","",Wartungsplan!C6)</f>
        <v/>
      </c>
      <c r="D19" s="30">
        <f>IF(Wartungsplan!I6="","",Wartungsplan!I6)</f>
        <v/>
      </c>
      <c r="E19" s="29">
        <f>IF(Wartungsplan!J6="","",Wartungsplan!J6)</f>
        <v/>
      </c>
      <c r="F19" s="29">
        <f>IF(Wartungsplan!M6="","",Wartungsplan!M6)</f>
        <v/>
      </c>
    </row>
    <row r="20">
      <c r="B20" s="31">
        <f>IF(Wartungsplan!A7="","",Wartungsplan!A7)</f>
        <v/>
      </c>
      <c r="C20" s="31">
        <f>IF(Wartungsplan!C7="","",Wartungsplan!C7)</f>
        <v/>
      </c>
      <c r="D20" s="32">
        <f>IF(Wartungsplan!I7="","",Wartungsplan!I7)</f>
        <v/>
      </c>
      <c r="E20" s="31">
        <f>IF(Wartungsplan!J7="","",Wartungsplan!J7)</f>
        <v/>
      </c>
      <c r="F20" s="31">
        <f>IF(Wartungsplan!M7="","",Wartungsplan!M7)</f>
        <v/>
      </c>
    </row>
    <row r="21">
      <c r="B21" s="29">
        <f>IF(Wartungsplan!A8="","",Wartungsplan!A8)</f>
        <v/>
      </c>
      <c r="C21" s="29">
        <f>IF(Wartungsplan!C8="","",Wartungsplan!C8)</f>
        <v/>
      </c>
      <c r="D21" s="30">
        <f>IF(Wartungsplan!I8="","",Wartungsplan!I8)</f>
        <v/>
      </c>
      <c r="E21" s="29">
        <f>IF(Wartungsplan!J8="","",Wartungsplan!J8)</f>
        <v/>
      </c>
      <c r="F21" s="29">
        <f>IF(Wartungsplan!M8="","",Wartungsplan!M8)</f>
        <v/>
      </c>
    </row>
    <row r="22">
      <c r="B22" s="31">
        <f>IF(Wartungsplan!A9="","",Wartungsplan!A9)</f>
        <v/>
      </c>
      <c r="C22" s="31">
        <f>IF(Wartungsplan!C9="","",Wartungsplan!C9)</f>
        <v/>
      </c>
      <c r="D22" s="32">
        <f>IF(Wartungsplan!I9="","",Wartungsplan!I9)</f>
        <v/>
      </c>
      <c r="E22" s="31">
        <f>IF(Wartungsplan!J9="","",Wartungsplan!J9)</f>
        <v/>
      </c>
      <c r="F22" s="31">
        <f>IF(Wartungsplan!M9="","",Wartungsplan!M9)</f>
        <v/>
      </c>
    </row>
    <row r="23">
      <c r="B23" s="29">
        <f>IF(Wartungsplan!A10="","",Wartungsplan!A10)</f>
        <v/>
      </c>
      <c r="C23" s="29">
        <f>IF(Wartungsplan!C10="","",Wartungsplan!C10)</f>
        <v/>
      </c>
      <c r="D23" s="30">
        <f>IF(Wartungsplan!I10="","",Wartungsplan!I10)</f>
        <v/>
      </c>
      <c r="E23" s="29">
        <f>IF(Wartungsplan!J10="","",Wartungsplan!J10)</f>
        <v/>
      </c>
      <c r="F23" s="29">
        <f>IF(Wartungsplan!M10="","",Wartungsplan!M10)</f>
        <v/>
      </c>
    </row>
    <row r="24">
      <c r="B24" s="31">
        <f>IF(Wartungsplan!A11="","",Wartungsplan!A11)</f>
        <v/>
      </c>
      <c r="C24" s="31">
        <f>IF(Wartungsplan!C11="","",Wartungsplan!C11)</f>
        <v/>
      </c>
      <c r="D24" s="32">
        <f>IF(Wartungsplan!I11="","",Wartungsplan!I11)</f>
        <v/>
      </c>
      <c r="E24" s="31">
        <f>IF(Wartungsplan!J11="","",Wartungsplan!J11)</f>
        <v/>
      </c>
      <c r="F24" s="31">
        <f>IF(Wartungsplan!M11="","",Wartungsplan!M11)</f>
        <v/>
      </c>
    </row>
    <row r="25">
      <c r="B25" s="29">
        <f>IF(Wartungsplan!A12="","",Wartungsplan!A12)</f>
        <v/>
      </c>
      <c r="C25" s="29">
        <f>IF(Wartungsplan!C12="","",Wartungsplan!C12)</f>
        <v/>
      </c>
      <c r="D25" s="30">
        <f>IF(Wartungsplan!I12="","",Wartungsplan!I12)</f>
        <v/>
      </c>
      <c r="E25" s="29">
        <f>IF(Wartungsplan!J12="","",Wartungsplan!J12)</f>
        <v/>
      </c>
      <c r="F25" s="29">
        <f>IF(Wartungsplan!M12="","",Wartungsplan!M12)</f>
        <v/>
      </c>
    </row>
    <row r="26">
      <c r="B26" s="31">
        <f>IF(Wartungsplan!A13="","",Wartungsplan!A13)</f>
        <v/>
      </c>
      <c r="C26" s="31">
        <f>IF(Wartungsplan!C13="","",Wartungsplan!C13)</f>
        <v/>
      </c>
      <c r="D26" s="32">
        <f>IF(Wartungsplan!I13="","",Wartungsplan!I13)</f>
        <v/>
      </c>
      <c r="E26" s="31">
        <f>IF(Wartungsplan!J13="","",Wartungsplan!J13)</f>
        <v/>
      </c>
      <c r="F26" s="31">
        <f>IF(Wartungsplan!M13="","",Wartungsplan!M13)</f>
        <v/>
      </c>
    </row>
  </sheetData>
  <mergeCells count="16">
    <mergeCell ref="E4:F4"/>
    <mergeCell ref="A1:G1"/>
    <mergeCell ref="B7:C7"/>
    <mergeCell ref="B11:C11"/>
    <mergeCell ref="E7:F7"/>
    <mergeCell ref="E10:F10"/>
    <mergeCell ref="B5:C5"/>
    <mergeCell ref="B15:F15"/>
    <mergeCell ref="E8:F8"/>
    <mergeCell ref="B10:C10"/>
    <mergeCell ref="E11:F11"/>
    <mergeCell ref="E5:F5"/>
    <mergeCell ref="A2:G2"/>
    <mergeCell ref="B8:C8"/>
    <mergeCell ref="B4:C4"/>
    <mergeCell ref="B13:F13"/>
  </mergeCells>
  <conditionalFormatting sqref="F17:F26">
    <cfRule type="expression" priority="1" dxfId="0">
      <formula>ISNUMBER(SEARCH("🔴",F17))</formula>
    </cfRule>
    <cfRule type="expression" priority="2" dxfId="1">
      <formula>ISNUMBER(SEARCH("🟡",F17))</formula>
    </cfRule>
    <cfRule type="expression" priority="3" dxfId="2">
      <formula>ISNUMBER(SEARCH("🟢",F17))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O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9" customWidth="1" min="5" max="5"/>
    <col width="13" customWidth="1" min="6" max="6"/>
    <col width="12" customWidth="1" min="7" max="7"/>
    <col width="20" customWidth="1" min="8" max="8"/>
    <col width="18" customWidth="1" min="9" max="9"/>
    <col width="15" customWidth="1" min="10" max="10"/>
    <col width="12" customWidth="1" min="11" max="11"/>
    <col width="12" customWidth="1" min="12" max="12"/>
    <col width="12" customWidth="1" min="13" max="13"/>
    <col width="13" customWidth="1" min="14" max="14"/>
    <col width="24" customWidth="1" min="15" max="15"/>
  </cols>
  <sheetData>
    <row r="1" ht="36" customHeight="1">
      <c r="A1" s="33" t="inlineStr">
        <is>
          <t>FAHRZEUG-STAMMDATEN</t>
        </is>
      </c>
    </row>
    <row r="2" ht="18" customHeight="1">
      <c r="A2" s="2" t="inlineStr">
        <is>
          <t>Basis der gesamten Verwaltung – hier jedes Fahrzeug einmal anlegen.</t>
        </is>
      </c>
    </row>
    <row r="3" ht="26" customHeight="1">
      <c r="A3" s="34" t="inlineStr">
        <is>
          <t>Kennzeichen</t>
        </is>
      </c>
      <c r="B3" s="34" t="inlineStr">
        <is>
          <t>Typ</t>
        </is>
      </c>
      <c r="C3" s="34" t="inlineStr">
        <is>
          <t>Marke</t>
        </is>
      </c>
      <c r="D3" s="34" t="inlineStr">
        <is>
          <t>Modell</t>
        </is>
      </c>
      <c r="E3" s="34" t="inlineStr">
        <is>
          <t>Baujahr</t>
        </is>
      </c>
      <c r="F3" s="34" t="inlineStr">
        <is>
          <t>Erstzulassung</t>
        </is>
      </c>
      <c r="G3" s="34" t="inlineStr">
        <is>
          <t>Kraftstoff</t>
        </is>
      </c>
      <c r="H3" s="34" t="inlineStr">
        <is>
          <t>VIN / Fahrgestellnr.</t>
        </is>
      </c>
      <c r="I3" s="34" t="inlineStr">
        <is>
          <t>Fahrer / Abteilung</t>
        </is>
      </c>
      <c r="J3" s="34" t="inlineStr">
        <is>
          <t>km-Stand aktuell</t>
        </is>
      </c>
      <c r="K3" s="34" t="inlineStr">
        <is>
          <t>Stand vom</t>
        </is>
      </c>
      <c r="L3" s="34" t="inlineStr">
        <is>
          <t>Ø km / Monat</t>
        </is>
      </c>
      <c r="M3" s="34" t="inlineStr">
        <is>
          <t>TÜV/HU bis</t>
        </is>
      </c>
      <c r="N3" s="34" t="inlineStr">
        <is>
          <t>Status</t>
        </is>
      </c>
      <c r="O3" s="34" t="inlineStr">
        <is>
          <t>Notiz</t>
        </is>
      </c>
    </row>
    <row r="4">
      <c r="A4" s="31" t="inlineStr">
        <is>
          <t>B-AH 1001</t>
        </is>
      </c>
      <c r="B4" s="31" t="inlineStr">
        <is>
          <t>PKW</t>
        </is>
      </c>
      <c r="C4" s="35" t="inlineStr">
        <is>
          <t>VW</t>
        </is>
      </c>
      <c r="D4" s="35" t="inlineStr">
        <is>
          <t>Passat Variant</t>
        </is>
      </c>
      <c r="E4" s="31" t="n">
        <v>2022</v>
      </c>
      <c r="F4" s="32" t="n">
        <v>44635</v>
      </c>
      <c r="G4" s="31" t="inlineStr">
        <is>
          <t>Diesel</t>
        </is>
      </c>
      <c r="H4" s="35" t="inlineStr">
        <is>
          <t>WVWZZZ3CZME000111</t>
        </is>
      </c>
      <c r="I4" s="35" t="inlineStr">
        <is>
          <t>M. Keller / Vertrieb</t>
        </is>
      </c>
      <c r="J4" s="36" t="n">
        <v>68500</v>
      </c>
      <c r="K4" s="32" t="n">
        <v>46174</v>
      </c>
      <c r="L4" s="36" t="n">
        <v>1800</v>
      </c>
      <c r="M4" s="32" t="n">
        <v>46295</v>
      </c>
      <c r="N4" s="31" t="inlineStr">
        <is>
          <t>Aktiv</t>
        </is>
      </c>
      <c r="O4" s="35" t="inlineStr"/>
    </row>
    <row r="5">
      <c r="A5" s="29" t="inlineStr">
        <is>
          <t>B-AH 1002</t>
        </is>
      </c>
      <c r="B5" s="29" t="inlineStr">
        <is>
          <t>PKW</t>
        </is>
      </c>
      <c r="C5" s="37" t="inlineStr">
        <is>
          <t>Skoda</t>
        </is>
      </c>
      <c r="D5" s="37" t="inlineStr">
        <is>
          <t>Octavia</t>
        </is>
      </c>
      <c r="E5" s="29" t="n">
        <v>2021</v>
      </c>
      <c r="F5" s="30" t="n">
        <v>44378</v>
      </c>
      <c r="G5" s="29" t="inlineStr">
        <is>
          <t>Benzin</t>
        </is>
      </c>
      <c r="H5" s="37" t="inlineStr">
        <is>
          <t>TMBJJ7NE0M0000222</t>
        </is>
      </c>
      <c r="I5" s="37" t="inlineStr">
        <is>
          <t>Pool</t>
        </is>
      </c>
      <c r="J5" s="38" t="n">
        <v>54200</v>
      </c>
      <c r="K5" s="30" t="n">
        <v>46174</v>
      </c>
      <c r="L5" s="38" t="n">
        <v>1200</v>
      </c>
      <c r="M5" s="30" t="n">
        <v>46446</v>
      </c>
      <c r="N5" s="29" t="inlineStr">
        <is>
          <t>Aktiv</t>
        </is>
      </c>
      <c r="O5" s="37" t="inlineStr"/>
    </row>
    <row r="6">
      <c r="A6" s="31" t="inlineStr">
        <is>
          <t>B-AH 2050</t>
        </is>
      </c>
      <c r="B6" s="31" t="inlineStr">
        <is>
          <t>Transporter</t>
        </is>
      </c>
      <c r="C6" s="35" t="inlineStr">
        <is>
          <t>Mercedes</t>
        </is>
      </c>
      <c r="D6" s="35" t="inlineStr">
        <is>
          <t>Sprinter 316</t>
        </is>
      </c>
      <c r="E6" s="31" t="n">
        <v>2020</v>
      </c>
      <c r="F6" s="32" t="n">
        <v>43971</v>
      </c>
      <c r="G6" s="31" t="inlineStr">
        <is>
          <t>Diesel</t>
        </is>
      </c>
      <c r="H6" s="35" t="inlineStr">
        <is>
          <t>WDB9061331N000333</t>
        </is>
      </c>
      <c r="I6" s="35" t="inlineStr">
        <is>
          <t>Logistik</t>
        </is>
      </c>
      <c r="J6" s="36" t="n">
        <v>142300</v>
      </c>
      <c r="K6" s="32" t="n">
        <v>46174</v>
      </c>
      <c r="L6" s="36" t="n">
        <v>3200</v>
      </c>
      <c r="M6" s="32" t="n">
        <v>46218</v>
      </c>
      <c r="N6" s="31" t="inlineStr">
        <is>
          <t>Aktiv</t>
        </is>
      </c>
      <c r="O6" s="35" t="inlineStr">
        <is>
          <t>Hochdach</t>
        </is>
      </c>
    </row>
    <row r="7">
      <c r="A7" s="29" t="inlineStr">
        <is>
          <t>B-AH 2051</t>
        </is>
      </c>
      <c r="B7" s="29" t="inlineStr">
        <is>
          <t>Transporter</t>
        </is>
      </c>
      <c r="C7" s="37" t="inlineStr">
        <is>
          <t>Ford</t>
        </is>
      </c>
      <c r="D7" s="37" t="inlineStr">
        <is>
          <t>Transit Custom</t>
        </is>
      </c>
      <c r="E7" s="29" t="n">
        <v>2023</v>
      </c>
      <c r="F7" s="30" t="n">
        <v>44936</v>
      </c>
      <c r="G7" s="29" t="inlineStr">
        <is>
          <t>Diesel</t>
        </is>
      </c>
      <c r="H7" s="37" t="inlineStr">
        <is>
          <t>WF0XXXTTGXN000444</t>
        </is>
      </c>
      <c r="I7" s="37" t="inlineStr">
        <is>
          <t>Service-Team</t>
        </is>
      </c>
      <c r="J7" s="38" t="n">
        <v>39800</v>
      </c>
      <c r="K7" s="30" t="n">
        <v>46174</v>
      </c>
      <c r="L7" s="38" t="n">
        <v>2500</v>
      </c>
      <c r="M7" s="30" t="n">
        <v>46397</v>
      </c>
      <c r="N7" s="29" t="inlineStr">
        <is>
          <t>Aktiv</t>
        </is>
      </c>
      <c r="O7" s="37" t="inlineStr"/>
    </row>
    <row r="8">
      <c r="A8" s="31" t="inlineStr">
        <is>
          <t>B-AH 7800</t>
        </is>
      </c>
      <c r="B8" s="31" t="inlineStr">
        <is>
          <t>LKW</t>
        </is>
      </c>
      <c r="C8" s="35" t="inlineStr">
        <is>
          <t>MAN</t>
        </is>
      </c>
      <c r="D8" s="35" t="inlineStr">
        <is>
          <t>TGX 18.470</t>
        </is>
      </c>
      <c r="E8" s="31" t="n">
        <v>2019</v>
      </c>
      <c r="F8" s="32" t="n">
        <v>43713</v>
      </c>
      <c r="G8" s="31" t="inlineStr">
        <is>
          <t>Diesel</t>
        </is>
      </c>
      <c r="H8" s="35" t="inlineStr">
        <is>
          <t>WMA06XZZ0KM000555</t>
        </is>
      </c>
      <c r="I8" s="35" t="inlineStr">
        <is>
          <t>Fernverkehr</t>
        </is>
      </c>
      <c r="J8" s="36" t="n">
        <v>520400</v>
      </c>
      <c r="K8" s="32" t="n">
        <v>46174</v>
      </c>
      <c r="L8" s="36" t="n">
        <v>9500</v>
      </c>
      <c r="M8" s="32" t="n">
        <v>46203</v>
      </c>
      <c r="N8" s="31" t="inlineStr">
        <is>
          <t>Aktiv</t>
        </is>
      </c>
      <c r="O8" s="35" t="inlineStr">
        <is>
          <t>SP &amp; Tacho beachten</t>
        </is>
      </c>
    </row>
    <row r="9">
      <c r="A9" s="29" t="inlineStr">
        <is>
          <t>B-AH 7801</t>
        </is>
      </c>
      <c r="B9" s="29" t="inlineStr">
        <is>
          <t>LKW</t>
        </is>
      </c>
      <c r="C9" s="37" t="inlineStr">
        <is>
          <t>Volvo</t>
        </is>
      </c>
      <c r="D9" s="37" t="inlineStr">
        <is>
          <t>FH 460</t>
        </is>
      </c>
      <c r="E9" s="29" t="n">
        <v>2021</v>
      </c>
      <c r="F9" s="30" t="n">
        <v>44304</v>
      </c>
      <c r="G9" s="29" t="inlineStr">
        <is>
          <t>Diesel</t>
        </is>
      </c>
      <c r="H9" s="37" t="inlineStr">
        <is>
          <t>YV2RT40A0MB000666</t>
        </is>
      </c>
      <c r="I9" s="37" t="inlineStr">
        <is>
          <t>Fernverkehr</t>
        </is>
      </c>
      <c r="J9" s="38" t="n">
        <v>310750</v>
      </c>
      <c r="K9" s="30" t="n">
        <v>46174</v>
      </c>
      <c r="L9" s="38" t="n">
        <v>8800</v>
      </c>
      <c r="M9" s="30" t="n">
        <v>46346</v>
      </c>
      <c r="N9" s="29" t="inlineStr">
        <is>
          <t>Aktiv</t>
        </is>
      </c>
      <c r="O9" s="37" t="inlineStr"/>
    </row>
    <row r="10">
      <c r="A10" s="39" t="n"/>
      <c r="B10" s="39" t="n"/>
      <c r="C10" s="39" t="n"/>
      <c r="D10" s="39" t="n"/>
      <c r="E10" s="39" t="n"/>
      <c r="F10" s="40" t="n"/>
      <c r="G10" s="39" t="n"/>
      <c r="H10" s="39" t="n"/>
      <c r="I10" s="39" t="n"/>
      <c r="J10" s="41" t="n"/>
      <c r="K10" s="40" t="n"/>
      <c r="L10" s="41" t="n"/>
      <c r="M10" s="40" t="n"/>
      <c r="N10" s="39" t="n"/>
      <c r="O10" s="39" t="n"/>
    </row>
    <row r="11">
      <c r="A11" s="42" t="n"/>
      <c r="B11" s="42" t="n"/>
      <c r="C11" s="42" t="n"/>
      <c r="D11" s="42" t="n"/>
      <c r="E11" s="42" t="n"/>
      <c r="F11" s="43" t="n"/>
      <c r="G11" s="42" t="n"/>
      <c r="H11" s="42" t="n"/>
      <c r="I11" s="42" t="n"/>
      <c r="J11" s="44" t="n"/>
      <c r="K11" s="43" t="n"/>
      <c r="L11" s="44" t="n"/>
      <c r="M11" s="43" t="n"/>
      <c r="N11" s="42" t="n"/>
      <c r="O11" s="42" t="n"/>
    </row>
    <row r="12">
      <c r="A12" s="39" t="n"/>
      <c r="B12" s="39" t="n"/>
      <c r="C12" s="39" t="n"/>
      <c r="D12" s="39" t="n"/>
      <c r="E12" s="39" t="n"/>
      <c r="F12" s="40" t="n"/>
      <c r="G12" s="39" t="n"/>
      <c r="H12" s="39" t="n"/>
      <c r="I12" s="39" t="n"/>
      <c r="J12" s="41" t="n"/>
      <c r="K12" s="40" t="n"/>
      <c r="L12" s="41" t="n"/>
      <c r="M12" s="40" t="n"/>
      <c r="N12" s="39" t="n"/>
      <c r="O12" s="39" t="n"/>
    </row>
    <row r="13">
      <c r="A13" s="42" t="n"/>
      <c r="B13" s="42" t="n"/>
      <c r="C13" s="42" t="n"/>
      <c r="D13" s="42" t="n"/>
      <c r="E13" s="42" t="n"/>
      <c r="F13" s="43" t="n"/>
      <c r="G13" s="42" t="n"/>
      <c r="H13" s="42" t="n"/>
      <c r="I13" s="42" t="n"/>
      <c r="J13" s="44" t="n"/>
      <c r="K13" s="43" t="n"/>
      <c r="L13" s="44" t="n"/>
      <c r="M13" s="43" t="n"/>
      <c r="N13" s="42" t="n"/>
      <c r="O13" s="42" t="n"/>
    </row>
    <row r="14">
      <c r="A14" s="39" t="n"/>
      <c r="B14" s="39" t="n"/>
      <c r="C14" s="39" t="n"/>
      <c r="D14" s="39" t="n"/>
      <c r="E14" s="39" t="n"/>
      <c r="F14" s="40" t="n"/>
      <c r="G14" s="39" t="n"/>
      <c r="H14" s="39" t="n"/>
      <c r="I14" s="39" t="n"/>
      <c r="J14" s="41" t="n"/>
      <c r="K14" s="40" t="n"/>
      <c r="L14" s="41" t="n"/>
      <c r="M14" s="40" t="n"/>
      <c r="N14" s="39" t="n"/>
      <c r="O14" s="39" t="n"/>
    </row>
    <row r="15">
      <c r="A15" s="42" t="n"/>
      <c r="B15" s="42" t="n"/>
      <c r="C15" s="42" t="n"/>
      <c r="D15" s="42" t="n"/>
      <c r="E15" s="42" t="n"/>
      <c r="F15" s="43" t="n"/>
      <c r="G15" s="42" t="n"/>
      <c r="H15" s="42" t="n"/>
      <c r="I15" s="42" t="n"/>
      <c r="J15" s="44" t="n"/>
      <c r="K15" s="43" t="n"/>
      <c r="L15" s="44" t="n"/>
      <c r="M15" s="43" t="n"/>
      <c r="N15" s="42" t="n"/>
      <c r="O15" s="42" t="n"/>
    </row>
    <row r="16">
      <c r="A16" s="39" t="n"/>
      <c r="B16" s="39" t="n"/>
      <c r="C16" s="39" t="n"/>
      <c r="D16" s="39" t="n"/>
      <c r="E16" s="39" t="n"/>
      <c r="F16" s="40" t="n"/>
      <c r="G16" s="39" t="n"/>
      <c r="H16" s="39" t="n"/>
      <c r="I16" s="39" t="n"/>
      <c r="J16" s="41" t="n"/>
      <c r="K16" s="40" t="n"/>
      <c r="L16" s="41" t="n"/>
      <c r="M16" s="40" t="n"/>
      <c r="N16" s="39" t="n"/>
      <c r="O16" s="39" t="n"/>
    </row>
    <row r="17">
      <c r="A17" s="42" t="n"/>
      <c r="B17" s="42" t="n"/>
      <c r="C17" s="42" t="n"/>
      <c r="D17" s="42" t="n"/>
      <c r="E17" s="42" t="n"/>
      <c r="F17" s="43" t="n"/>
      <c r="G17" s="42" t="n"/>
      <c r="H17" s="42" t="n"/>
      <c r="I17" s="42" t="n"/>
      <c r="J17" s="44" t="n"/>
      <c r="K17" s="43" t="n"/>
      <c r="L17" s="44" t="n"/>
      <c r="M17" s="43" t="n"/>
      <c r="N17" s="42" t="n"/>
      <c r="O17" s="42" t="n"/>
    </row>
    <row r="18">
      <c r="A18" s="39" t="n"/>
      <c r="B18" s="39" t="n"/>
      <c r="C18" s="39" t="n"/>
      <c r="D18" s="39" t="n"/>
      <c r="E18" s="39" t="n"/>
      <c r="F18" s="40" t="n"/>
      <c r="G18" s="39" t="n"/>
      <c r="H18" s="39" t="n"/>
      <c r="I18" s="39" t="n"/>
      <c r="J18" s="41" t="n"/>
      <c r="K18" s="40" t="n"/>
      <c r="L18" s="41" t="n"/>
      <c r="M18" s="40" t="n"/>
      <c r="N18" s="39" t="n"/>
      <c r="O18" s="39" t="n"/>
    </row>
    <row r="19">
      <c r="A19" s="42" t="n"/>
      <c r="B19" s="42" t="n"/>
      <c r="C19" s="42" t="n"/>
      <c r="D19" s="42" t="n"/>
      <c r="E19" s="42" t="n"/>
      <c r="F19" s="43" t="n"/>
      <c r="G19" s="42" t="n"/>
      <c r="H19" s="42" t="n"/>
      <c r="I19" s="42" t="n"/>
      <c r="J19" s="44" t="n"/>
      <c r="K19" s="43" t="n"/>
      <c r="L19" s="44" t="n"/>
      <c r="M19" s="43" t="n"/>
      <c r="N19" s="42" t="n"/>
      <c r="O19" s="42" t="n"/>
    </row>
    <row r="20">
      <c r="A20" s="39" t="n"/>
      <c r="B20" s="39" t="n"/>
      <c r="C20" s="39" t="n"/>
      <c r="D20" s="39" t="n"/>
      <c r="E20" s="39" t="n"/>
      <c r="F20" s="40" t="n"/>
      <c r="G20" s="39" t="n"/>
      <c r="H20" s="39" t="n"/>
      <c r="I20" s="39" t="n"/>
      <c r="J20" s="41" t="n"/>
      <c r="K20" s="40" t="n"/>
      <c r="L20" s="41" t="n"/>
      <c r="M20" s="40" t="n"/>
      <c r="N20" s="39" t="n"/>
      <c r="O20" s="39" t="n"/>
    </row>
    <row r="21">
      <c r="A21" s="42" t="n"/>
      <c r="B21" s="42" t="n"/>
      <c r="C21" s="42" t="n"/>
      <c r="D21" s="42" t="n"/>
      <c r="E21" s="42" t="n"/>
      <c r="F21" s="43" t="n"/>
      <c r="G21" s="42" t="n"/>
      <c r="H21" s="42" t="n"/>
      <c r="I21" s="42" t="n"/>
      <c r="J21" s="44" t="n"/>
      <c r="K21" s="43" t="n"/>
      <c r="L21" s="44" t="n"/>
      <c r="M21" s="43" t="n"/>
      <c r="N21" s="42" t="n"/>
      <c r="O21" s="42" t="n"/>
    </row>
    <row r="22">
      <c r="A22" s="39" t="n"/>
      <c r="B22" s="39" t="n"/>
      <c r="C22" s="39" t="n"/>
      <c r="D22" s="39" t="n"/>
      <c r="E22" s="39" t="n"/>
      <c r="F22" s="40" t="n"/>
      <c r="G22" s="39" t="n"/>
      <c r="H22" s="39" t="n"/>
      <c r="I22" s="39" t="n"/>
      <c r="J22" s="41" t="n"/>
      <c r="K22" s="40" t="n"/>
      <c r="L22" s="41" t="n"/>
      <c r="M22" s="40" t="n"/>
      <c r="N22" s="39" t="n"/>
      <c r="O22" s="39" t="n"/>
    </row>
    <row r="23">
      <c r="A23" s="42" t="n"/>
      <c r="B23" s="42" t="n"/>
      <c r="C23" s="42" t="n"/>
      <c r="D23" s="42" t="n"/>
      <c r="E23" s="42" t="n"/>
      <c r="F23" s="43" t="n"/>
      <c r="G23" s="42" t="n"/>
      <c r="H23" s="42" t="n"/>
      <c r="I23" s="42" t="n"/>
      <c r="J23" s="44" t="n"/>
      <c r="K23" s="43" t="n"/>
      <c r="L23" s="44" t="n"/>
      <c r="M23" s="43" t="n"/>
      <c r="N23" s="42" t="n"/>
      <c r="O23" s="42" t="n"/>
    </row>
    <row r="24">
      <c r="A24" s="39" t="n"/>
      <c r="B24" s="39" t="n"/>
      <c r="C24" s="39" t="n"/>
      <c r="D24" s="39" t="n"/>
      <c r="E24" s="39" t="n"/>
      <c r="F24" s="40" t="n"/>
      <c r="G24" s="39" t="n"/>
      <c r="H24" s="39" t="n"/>
      <c r="I24" s="39" t="n"/>
      <c r="J24" s="41" t="n"/>
      <c r="K24" s="40" t="n"/>
      <c r="L24" s="41" t="n"/>
      <c r="M24" s="40" t="n"/>
      <c r="N24" s="39" t="n"/>
      <c r="O24" s="39" t="n"/>
    </row>
    <row r="25">
      <c r="A25" s="42" t="n"/>
      <c r="B25" s="42" t="n"/>
      <c r="C25" s="42" t="n"/>
      <c r="D25" s="42" t="n"/>
      <c r="E25" s="42" t="n"/>
      <c r="F25" s="43" t="n"/>
      <c r="G25" s="42" t="n"/>
      <c r="H25" s="42" t="n"/>
      <c r="I25" s="42" t="n"/>
      <c r="J25" s="44" t="n"/>
      <c r="K25" s="43" t="n"/>
      <c r="L25" s="44" t="n"/>
      <c r="M25" s="43" t="n"/>
      <c r="N25" s="42" t="n"/>
      <c r="O25" s="42" t="n"/>
    </row>
    <row r="26">
      <c r="A26" s="39" t="n"/>
      <c r="B26" s="39" t="n"/>
      <c r="C26" s="39" t="n"/>
      <c r="D26" s="39" t="n"/>
      <c r="E26" s="39" t="n"/>
      <c r="F26" s="40" t="n"/>
      <c r="G26" s="39" t="n"/>
      <c r="H26" s="39" t="n"/>
      <c r="I26" s="39" t="n"/>
      <c r="J26" s="41" t="n"/>
      <c r="K26" s="40" t="n"/>
      <c r="L26" s="41" t="n"/>
      <c r="M26" s="40" t="n"/>
      <c r="N26" s="39" t="n"/>
      <c r="O26" s="39" t="n"/>
    </row>
    <row r="27">
      <c r="A27" s="42" t="n"/>
      <c r="B27" s="42" t="n"/>
      <c r="C27" s="42" t="n"/>
      <c r="D27" s="42" t="n"/>
      <c r="E27" s="42" t="n"/>
      <c r="F27" s="43" t="n"/>
      <c r="G27" s="42" t="n"/>
      <c r="H27" s="42" t="n"/>
      <c r="I27" s="42" t="n"/>
      <c r="J27" s="44" t="n"/>
      <c r="K27" s="43" t="n"/>
      <c r="L27" s="44" t="n"/>
      <c r="M27" s="43" t="n"/>
      <c r="N27" s="42" t="n"/>
      <c r="O27" s="42" t="n"/>
    </row>
    <row r="28">
      <c r="A28" s="39" t="n"/>
      <c r="B28" s="39" t="n"/>
      <c r="C28" s="39" t="n"/>
      <c r="D28" s="39" t="n"/>
      <c r="E28" s="39" t="n"/>
      <c r="F28" s="40" t="n"/>
      <c r="G28" s="39" t="n"/>
      <c r="H28" s="39" t="n"/>
      <c r="I28" s="39" t="n"/>
      <c r="J28" s="41" t="n"/>
      <c r="K28" s="40" t="n"/>
      <c r="L28" s="41" t="n"/>
      <c r="M28" s="40" t="n"/>
      <c r="N28" s="39" t="n"/>
      <c r="O28" s="39" t="n"/>
    </row>
    <row r="29">
      <c r="A29" s="42" t="n"/>
      <c r="B29" s="42" t="n"/>
      <c r="C29" s="42" t="n"/>
      <c r="D29" s="42" t="n"/>
      <c r="E29" s="42" t="n"/>
      <c r="F29" s="43" t="n"/>
      <c r="G29" s="42" t="n"/>
      <c r="H29" s="42" t="n"/>
      <c r="I29" s="42" t="n"/>
      <c r="J29" s="44" t="n"/>
      <c r="K29" s="43" t="n"/>
      <c r="L29" s="44" t="n"/>
      <c r="M29" s="43" t="n"/>
      <c r="N29" s="42" t="n"/>
      <c r="O29" s="42" t="n"/>
    </row>
    <row r="30">
      <c r="A30" s="39" t="n"/>
      <c r="B30" s="39" t="n"/>
      <c r="C30" s="39" t="n"/>
      <c r="D30" s="39" t="n"/>
      <c r="E30" s="39" t="n"/>
      <c r="F30" s="40" t="n"/>
      <c r="G30" s="39" t="n"/>
      <c r="H30" s="39" t="n"/>
      <c r="I30" s="39" t="n"/>
      <c r="J30" s="41" t="n"/>
      <c r="K30" s="40" t="n"/>
      <c r="L30" s="41" t="n"/>
      <c r="M30" s="40" t="n"/>
      <c r="N30" s="39" t="n"/>
      <c r="O30" s="39" t="n"/>
    </row>
    <row r="31">
      <c r="A31" s="42" t="n"/>
      <c r="B31" s="42" t="n"/>
      <c r="C31" s="42" t="n"/>
      <c r="D31" s="42" t="n"/>
      <c r="E31" s="42" t="n"/>
      <c r="F31" s="43" t="n"/>
      <c r="G31" s="42" t="n"/>
      <c r="H31" s="42" t="n"/>
      <c r="I31" s="42" t="n"/>
      <c r="J31" s="44" t="n"/>
      <c r="K31" s="43" t="n"/>
      <c r="L31" s="44" t="n"/>
      <c r="M31" s="43" t="n"/>
      <c r="N31" s="42" t="n"/>
      <c r="O31" s="42" t="n"/>
    </row>
    <row r="32">
      <c r="A32" s="39" t="n"/>
      <c r="B32" s="39" t="n"/>
      <c r="C32" s="39" t="n"/>
      <c r="D32" s="39" t="n"/>
      <c r="E32" s="39" t="n"/>
      <c r="F32" s="40" t="n"/>
      <c r="G32" s="39" t="n"/>
      <c r="H32" s="39" t="n"/>
      <c r="I32" s="39" t="n"/>
      <c r="J32" s="41" t="n"/>
      <c r="K32" s="40" t="n"/>
      <c r="L32" s="41" t="n"/>
      <c r="M32" s="40" t="n"/>
      <c r="N32" s="39" t="n"/>
      <c r="O32" s="39" t="n"/>
    </row>
    <row r="33">
      <c r="A33" s="42" t="n"/>
      <c r="B33" s="42" t="n"/>
      <c r="C33" s="42" t="n"/>
      <c r="D33" s="42" t="n"/>
      <c r="E33" s="42" t="n"/>
      <c r="F33" s="43" t="n"/>
      <c r="G33" s="42" t="n"/>
      <c r="H33" s="42" t="n"/>
      <c r="I33" s="42" t="n"/>
      <c r="J33" s="44" t="n"/>
      <c r="K33" s="43" t="n"/>
      <c r="L33" s="44" t="n"/>
      <c r="M33" s="43" t="n"/>
      <c r="N33" s="42" t="n"/>
      <c r="O33" s="42" t="n"/>
    </row>
    <row r="34">
      <c r="A34" s="39" t="n"/>
      <c r="B34" s="39" t="n"/>
      <c r="C34" s="39" t="n"/>
      <c r="D34" s="39" t="n"/>
      <c r="E34" s="39" t="n"/>
      <c r="F34" s="40" t="n"/>
      <c r="G34" s="39" t="n"/>
      <c r="H34" s="39" t="n"/>
      <c r="I34" s="39" t="n"/>
      <c r="J34" s="41" t="n"/>
      <c r="K34" s="40" t="n"/>
      <c r="L34" s="41" t="n"/>
      <c r="M34" s="40" t="n"/>
      <c r="N34" s="39" t="n"/>
      <c r="O34" s="39" t="n"/>
    </row>
    <row r="35">
      <c r="A35" s="42" t="n"/>
      <c r="B35" s="42" t="n"/>
      <c r="C35" s="42" t="n"/>
      <c r="D35" s="42" t="n"/>
      <c r="E35" s="42" t="n"/>
      <c r="F35" s="43" t="n"/>
      <c r="G35" s="42" t="n"/>
      <c r="H35" s="42" t="n"/>
      <c r="I35" s="42" t="n"/>
      <c r="J35" s="44" t="n"/>
      <c r="K35" s="43" t="n"/>
      <c r="L35" s="44" t="n"/>
      <c r="M35" s="43" t="n"/>
      <c r="N35" s="42" t="n"/>
      <c r="O35" s="42" t="n"/>
    </row>
    <row r="36">
      <c r="A36" s="39" t="n"/>
      <c r="B36" s="39" t="n"/>
      <c r="C36" s="39" t="n"/>
      <c r="D36" s="39" t="n"/>
      <c r="E36" s="39" t="n"/>
      <c r="F36" s="40" t="n"/>
      <c r="G36" s="39" t="n"/>
      <c r="H36" s="39" t="n"/>
      <c r="I36" s="39" t="n"/>
      <c r="J36" s="41" t="n"/>
      <c r="K36" s="40" t="n"/>
      <c r="L36" s="41" t="n"/>
      <c r="M36" s="40" t="n"/>
      <c r="N36" s="39" t="n"/>
      <c r="O36" s="39" t="n"/>
    </row>
    <row r="37">
      <c r="A37" s="42" t="n"/>
      <c r="B37" s="42" t="n"/>
      <c r="C37" s="42" t="n"/>
      <c r="D37" s="42" t="n"/>
      <c r="E37" s="42" t="n"/>
      <c r="F37" s="43" t="n"/>
      <c r="G37" s="42" t="n"/>
      <c r="H37" s="42" t="n"/>
      <c r="I37" s="42" t="n"/>
      <c r="J37" s="44" t="n"/>
      <c r="K37" s="43" t="n"/>
      <c r="L37" s="44" t="n"/>
      <c r="M37" s="43" t="n"/>
      <c r="N37" s="42" t="n"/>
      <c r="O37" s="42" t="n"/>
    </row>
    <row r="38">
      <c r="A38" s="39" t="n"/>
      <c r="B38" s="39" t="n"/>
      <c r="C38" s="39" t="n"/>
      <c r="D38" s="39" t="n"/>
      <c r="E38" s="39" t="n"/>
      <c r="F38" s="40" t="n"/>
      <c r="G38" s="39" t="n"/>
      <c r="H38" s="39" t="n"/>
      <c r="I38" s="39" t="n"/>
      <c r="J38" s="41" t="n"/>
      <c r="K38" s="40" t="n"/>
      <c r="L38" s="41" t="n"/>
      <c r="M38" s="40" t="n"/>
      <c r="N38" s="39" t="n"/>
      <c r="O38" s="39" t="n"/>
    </row>
    <row r="39">
      <c r="A39" s="42" t="n"/>
      <c r="B39" s="42" t="n"/>
      <c r="C39" s="42" t="n"/>
      <c r="D39" s="42" t="n"/>
      <c r="E39" s="42" t="n"/>
      <c r="F39" s="43" t="n"/>
      <c r="G39" s="42" t="n"/>
      <c r="H39" s="42" t="n"/>
      <c r="I39" s="42" t="n"/>
      <c r="J39" s="44" t="n"/>
      <c r="K39" s="43" t="n"/>
      <c r="L39" s="44" t="n"/>
      <c r="M39" s="43" t="n"/>
      <c r="N39" s="42" t="n"/>
      <c r="O39" s="42" t="n"/>
    </row>
    <row r="40">
      <c r="A40" s="39" t="n"/>
      <c r="B40" s="39" t="n"/>
      <c r="C40" s="39" t="n"/>
      <c r="D40" s="39" t="n"/>
      <c r="E40" s="39" t="n"/>
      <c r="F40" s="40" t="n"/>
      <c r="G40" s="39" t="n"/>
      <c r="H40" s="39" t="n"/>
      <c r="I40" s="39" t="n"/>
      <c r="J40" s="41" t="n"/>
      <c r="K40" s="40" t="n"/>
      <c r="L40" s="41" t="n"/>
      <c r="M40" s="40" t="n"/>
      <c r="N40" s="39" t="n"/>
      <c r="O40" s="39" t="n"/>
    </row>
    <row r="41">
      <c r="A41" s="42" t="n"/>
      <c r="B41" s="42" t="n"/>
      <c r="C41" s="42" t="n"/>
      <c r="D41" s="42" t="n"/>
      <c r="E41" s="42" t="n"/>
      <c r="F41" s="43" t="n"/>
      <c r="G41" s="42" t="n"/>
      <c r="H41" s="42" t="n"/>
      <c r="I41" s="42" t="n"/>
      <c r="J41" s="44" t="n"/>
      <c r="K41" s="43" t="n"/>
      <c r="L41" s="44" t="n"/>
      <c r="M41" s="43" t="n"/>
      <c r="N41" s="42" t="n"/>
      <c r="O41" s="42" t="n"/>
    </row>
    <row r="42">
      <c r="A42" s="39" t="n"/>
      <c r="B42" s="39" t="n"/>
      <c r="C42" s="39" t="n"/>
      <c r="D42" s="39" t="n"/>
      <c r="E42" s="39" t="n"/>
      <c r="F42" s="40" t="n"/>
      <c r="G42" s="39" t="n"/>
      <c r="H42" s="39" t="n"/>
      <c r="I42" s="39" t="n"/>
      <c r="J42" s="41" t="n"/>
      <c r="K42" s="40" t="n"/>
      <c r="L42" s="41" t="n"/>
      <c r="M42" s="40" t="n"/>
      <c r="N42" s="39" t="n"/>
      <c r="O42" s="39" t="n"/>
    </row>
    <row r="43">
      <c r="A43" s="42" t="n"/>
      <c r="B43" s="42" t="n"/>
      <c r="C43" s="42" t="n"/>
      <c r="D43" s="42" t="n"/>
      <c r="E43" s="42" t="n"/>
      <c r="F43" s="43" t="n"/>
      <c r="G43" s="42" t="n"/>
      <c r="H43" s="42" t="n"/>
      <c r="I43" s="42" t="n"/>
      <c r="J43" s="44" t="n"/>
      <c r="K43" s="43" t="n"/>
      <c r="L43" s="44" t="n"/>
      <c r="M43" s="43" t="n"/>
      <c r="N43" s="42" t="n"/>
      <c r="O43" s="42" t="n"/>
    </row>
    <row r="44">
      <c r="A44" s="39" t="n"/>
      <c r="B44" s="39" t="n"/>
      <c r="C44" s="39" t="n"/>
      <c r="D44" s="39" t="n"/>
      <c r="E44" s="39" t="n"/>
      <c r="F44" s="40" t="n"/>
      <c r="G44" s="39" t="n"/>
      <c r="H44" s="39" t="n"/>
      <c r="I44" s="39" t="n"/>
      <c r="J44" s="41" t="n"/>
      <c r="K44" s="40" t="n"/>
      <c r="L44" s="41" t="n"/>
      <c r="M44" s="40" t="n"/>
      <c r="N44" s="39" t="n"/>
      <c r="O44" s="39" t="n"/>
    </row>
    <row r="45">
      <c r="A45" s="42" t="n"/>
      <c r="B45" s="42" t="n"/>
      <c r="C45" s="42" t="n"/>
      <c r="D45" s="42" t="n"/>
      <c r="E45" s="42" t="n"/>
      <c r="F45" s="43" t="n"/>
      <c r="G45" s="42" t="n"/>
      <c r="H45" s="42" t="n"/>
      <c r="I45" s="42" t="n"/>
      <c r="J45" s="44" t="n"/>
      <c r="K45" s="43" t="n"/>
      <c r="L45" s="44" t="n"/>
      <c r="M45" s="43" t="n"/>
      <c r="N45" s="42" t="n"/>
      <c r="O45" s="42" t="n"/>
    </row>
    <row r="46">
      <c r="A46" s="39" t="n"/>
      <c r="B46" s="39" t="n"/>
      <c r="C46" s="39" t="n"/>
      <c r="D46" s="39" t="n"/>
      <c r="E46" s="39" t="n"/>
      <c r="F46" s="40" t="n"/>
      <c r="G46" s="39" t="n"/>
      <c r="H46" s="39" t="n"/>
      <c r="I46" s="39" t="n"/>
      <c r="J46" s="41" t="n"/>
      <c r="K46" s="40" t="n"/>
      <c r="L46" s="41" t="n"/>
      <c r="M46" s="40" t="n"/>
      <c r="N46" s="39" t="n"/>
      <c r="O46" s="39" t="n"/>
    </row>
    <row r="47">
      <c r="A47" s="42" t="n"/>
      <c r="B47" s="42" t="n"/>
      <c r="C47" s="42" t="n"/>
      <c r="D47" s="42" t="n"/>
      <c r="E47" s="42" t="n"/>
      <c r="F47" s="43" t="n"/>
      <c r="G47" s="42" t="n"/>
      <c r="H47" s="42" t="n"/>
      <c r="I47" s="42" t="n"/>
      <c r="J47" s="44" t="n"/>
      <c r="K47" s="43" t="n"/>
      <c r="L47" s="44" t="n"/>
      <c r="M47" s="43" t="n"/>
      <c r="N47" s="42" t="n"/>
      <c r="O47" s="42" t="n"/>
    </row>
    <row r="48">
      <c r="A48" s="39" t="n"/>
      <c r="B48" s="39" t="n"/>
      <c r="C48" s="39" t="n"/>
      <c r="D48" s="39" t="n"/>
      <c r="E48" s="39" t="n"/>
      <c r="F48" s="40" t="n"/>
      <c r="G48" s="39" t="n"/>
      <c r="H48" s="39" t="n"/>
      <c r="I48" s="39" t="n"/>
      <c r="J48" s="41" t="n"/>
      <c r="K48" s="40" t="n"/>
      <c r="L48" s="41" t="n"/>
      <c r="M48" s="40" t="n"/>
      <c r="N48" s="39" t="n"/>
      <c r="O48" s="39" t="n"/>
    </row>
    <row r="49">
      <c r="A49" s="42" t="n"/>
      <c r="B49" s="42" t="n"/>
      <c r="C49" s="42" t="n"/>
      <c r="D49" s="42" t="n"/>
      <c r="E49" s="42" t="n"/>
      <c r="F49" s="43" t="n"/>
      <c r="G49" s="42" t="n"/>
      <c r="H49" s="42" t="n"/>
      <c r="I49" s="42" t="n"/>
      <c r="J49" s="44" t="n"/>
      <c r="K49" s="43" t="n"/>
      <c r="L49" s="44" t="n"/>
      <c r="M49" s="43" t="n"/>
      <c r="N49" s="42" t="n"/>
      <c r="O49" s="42" t="n"/>
    </row>
    <row r="50">
      <c r="A50" s="39" t="n"/>
      <c r="B50" s="39" t="n"/>
      <c r="C50" s="39" t="n"/>
      <c r="D50" s="39" t="n"/>
      <c r="E50" s="39" t="n"/>
      <c r="F50" s="40" t="n"/>
      <c r="G50" s="39" t="n"/>
      <c r="H50" s="39" t="n"/>
      <c r="I50" s="39" t="n"/>
      <c r="J50" s="41" t="n"/>
      <c r="K50" s="40" t="n"/>
      <c r="L50" s="41" t="n"/>
      <c r="M50" s="40" t="n"/>
      <c r="N50" s="39" t="n"/>
      <c r="O50" s="39" t="n"/>
    </row>
    <row r="51">
      <c r="A51" s="42" t="n"/>
      <c r="B51" s="42" t="n"/>
      <c r="C51" s="42" t="n"/>
      <c r="D51" s="42" t="n"/>
      <c r="E51" s="42" t="n"/>
      <c r="F51" s="43" t="n"/>
      <c r="G51" s="42" t="n"/>
      <c r="H51" s="42" t="n"/>
      <c r="I51" s="42" t="n"/>
      <c r="J51" s="44" t="n"/>
      <c r="K51" s="43" t="n"/>
      <c r="L51" s="44" t="n"/>
      <c r="M51" s="43" t="n"/>
      <c r="N51" s="42" t="n"/>
      <c r="O51" s="42" t="n"/>
    </row>
    <row r="52">
      <c r="A52" s="39" t="n"/>
      <c r="B52" s="39" t="n"/>
      <c r="C52" s="39" t="n"/>
      <c r="D52" s="39" t="n"/>
      <c r="E52" s="39" t="n"/>
      <c r="F52" s="40" t="n"/>
      <c r="G52" s="39" t="n"/>
      <c r="H52" s="39" t="n"/>
      <c r="I52" s="39" t="n"/>
      <c r="J52" s="41" t="n"/>
      <c r="K52" s="40" t="n"/>
      <c r="L52" s="41" t="n"/>
      <c r="M52" s="40" t="n"/>
      <c r="N52" s="39" t="n"/>
      <c r="O52" s="39" t="n"/>
    </row>
    <row r="53">
      <c r="A53" s="42" t="n"/>
      <c r="B53" s="42" t="n"/>
      <c r="C53" s="42" t="n"/>
      <c r="D53" s="42" t="n"/>
      <c r="E53" s="42" t="n"/>
      <c r="F53" s="43" t="n"/>
      <c r="G53" s="42" t="n"/>
      <c r="H53" s="42" t="n"/>
      <c r="I53" s="42" t="n"/>
      <c r="J53" s="44" t="n"/>
      <c r="K53" s="43" t="n"/>
      <c r="L53" s="44" t="n"/>
      <c r="M53" s="43" t="n"/>
      <c r="N53" s="42" t="n"/>
      <c r="O53" s="42" t="n"/>
    </row>
    <row r="54">
      <c r="A54" s="39" t="n"/>
      <c r="B54" s="39" t="n"/>
      <c r="C54" s="39" t="n"/>
      <c r="D54" s="39" t="n"/>
      <c r="E54" s="39" t="n"/>
      <c r="F54" s="40" t="n"/>
      <c r="G54" s="39" t="n"/>
      <c r="H54" s="39" t="n"/>
      <c r="I54" s="39" t="n"/>
      <c r="J54" s="41" t="n"/>
      <c r="K54" s="40" t="n"/>
      <c r="L54" s="41" t="n"/>
      <c r="M54" s="40" t="n"/>
      <c r="N54" s="39" t="n"/>
      <c r="O54" s="39" t="n"/>
    </row>
    <row r="55">
      <c r="A55" s="42" t="n"/>
      <c r="B55" s="42" t="n"/>
      <c r="C55" s="42" t="n"/>
      <c r="D55" s="42" t="n"/>
      <c r="E55" s="42" t="n"/>
      <c r="F55" s="43" t="n"/>
      <c r="G55" s="42" t="n"/>
      <c r="H55" s="42" t="n"/>
      <c r="I55" s="42" t="n"/>
      <c r="J55" s="44" t="n"/>
      <c r="K55" s="43" t="n"/>
      <c r="L55" s="44" t="n"/>
      <c r="M55" s="43" t="n"/>
      <c r="N55" s="42" t="n"/>
      <c r="O55" s="42" t="n"/>
    </row>
    <row r="56">
      <c r="A56" s="39" t="n"/>
      <c r="B56" s="39" t="n"/>
      <c r="C56" s="39" t="n"/>
      <c r="D56" s="39" t="n"/>
      <c r="E56" s="39" t="n"/>
      <c r="F56" s="40" t="n"/>
      <c r="G56" s="39" t="n"/>
      <c r="H56" s="39" t="n"/>
      <c r="I56" s="39" t="n"/>
      <c r="J56" s="41" t="n"/>
      <c r="K56" s="40" t="n"/>
      <c r="L56" s="41" t="n"/>
      <c r="M56" s="40" t="n"/>
      <c r="N56" s="39" t="n"/>
      <c r="O56" s="39" t="n"/>
    </row>
    <row r="57">
      <c r="A57" s="42" t="n"/>
      <c r="B57" s="42" t="n"/>
      <c r="C57" s="42" t="n"/>
      <c r="D57" s="42" t="n"/>
      <c r="E57" s="42" t="n"/>
      <c r="F57" s="43" t="n"/>
      <c r="G57" s="42" t="n"/>
      <c r="H57" s="42" t="n"/>
      <c r="I57" s="42" t="n"/>
      <c r="J57" s="44" t="n"/>
      <c r="K57" s="43" t="n"/>
      <c r="L57" s="44" t="n"/>
      <c r="M57" s="43" t="n"/>
      <c r="N57" s="42" t="n"/>
      <c r="O57" s="42" t="n"/>
    </row>
    <row r="58">
      <c r="A58" s="39" t="n"/>
      <c r="B58" s="39" t="n"/>
      <c r="C58" s="39" t="n"/>
      <c r="D58" s="39" t="n"/>
      <c r="E58" s="39" t="n"/>
      <c r="F58" s="40" t="n"/>
      <c r="G58" s="39" t="n"/>
      <c r="H58" s="39" t="n"/>
      <c r="I58" s="39" t="n"/>
      <c r="J58" s="41" t="n"/>
      <c r="K58" s="40" t="n"/>
      <c r="L58" s="41" t="n"/>
      <c r="M58" s="40" t="n"/>
      <c r="N58" s="39" t="n"/>
      <c r="O58" s="39" t="n"/>
    </row>
    <row r="59">
      <c r="A59" s="42" t="n"/>
      <c r="B59" s="42" t="n"/>
      <c r="C59" s="42" t="n"/>
      <c r="D59" s="42" t="n"/>
      <c r="E59" s="42" t="n"/>
      <c r="F59" s="43" t="n"/>
      <c r="G59" s="42" t="n"/>
      <c r="H59" s="42" t="n"/>
      <c r="I59" s="42" t="n"/>
      <c r="J59" s="44" t="n"/>
      <c r="K59" s="43" t="n"/>
      <c r="L59" s="44" t="n"/>
      <c r="M59" s="43" t="n"/>
      <c r="N59" s="42" t="n"/>
      <c r="O59" s="42" t="n"/>
    </row>
    <row r="60">
      <c r="A60" s="39" t="n"/>
      <c r="B60" s="39" t="n"/>
      <c r="C60" s="39" t="n"/>
      <c r="D60" s="39" t="n"/>
      <c r="E60" s="39" t="n"/>
      <c r="F60" s="40" t="n"/>
      <c r="G60" s="39" t="n"/>
      <c r="H60" s="39" t="n"/>
      <c r="I60" s="39" t="n"/>
      <c r="J60" s="41" t="n"/>
      <c r="K60" s="40" t="n"/>
      <c r="L60" s="41" t="n"/>
      <c r="M60" s="40" t="n"/>
      <c r="N60" s="39" t="n"/>
      <c r="O60" s="39" t="n"/>
    </row>
    <row r="61">
      <c r="A61" s="42" t="n"/>
      <c r="B61" s="42" t="n"/>
      <c r="C61" s="42" t="n"/>
      <c r="D61" s="42" t="n"/>
      <c r="E61" s="42" t="n"/>
      <c r="F61" s="43" t="n"/>
      <c r="G61" s="42" t="n"/>
      <c r="H61" s="42" t="n"/>
      <c r="I61" s="42" t="n"/>
      <c r="J61" s="44" t="n"/>
      <c r="K61" s="43" t="n"/>
      <c r="L61" s="44" t="n"/>
      <c r="M61" s="43" t="n"/>
      <c r="N61" s="42" t="n"/>
      <c r="O61" s="42" t="n"/>
    </row>
    <row r="62">
      <c r="A62" s="39" t="n"/>
      <c r="B62" s="39" t="n"/>
      <c r="C62" s="39" t="n"/>
      <c r="D62" s="39" t="n"/>
      <c r="E62" s="39" t="n"/>
      <c r="F62" s="40" t="n"/>
      <c r="G62" s="39" t="n"/>
      <c r="H62" s="39" t="n"/>
      <c r="I62" s="39" t="n"/>
      <c r="J62" s="41" t="n"/>
      <c r="K62" s="40" t="n"/>
      <c r="L62" s="41" t="n"/>
      <c r="M62" s="40" t="n"/>
      <c r="N62" s="39" t="n"/>
      <c r="O62" s="39" t="n"/>
    </row>
    <row r="63">
      <c r="A63" s="42" t="n"/>
      <c r="B63" s="42" t="n"/>
      <c r="C63" s="42" t="n"/>
      <c r="D63" s="42" t="n"/>
      <c r="E63" s="42" t="n"/>
      <c r="F63" s="43" t="n"/>
      <c r="G63" s="42" t="n"/>
      <c r="H63" s="42" t="n"/>
      <c r="I63" s="42" t="n"/>
      <c r="J63" s="44" t="n"/>
      <c r="K63" s="43" t="n"/>
      <c r="L63" s="44" t="n"/>
      <c r="M63" s="43" t="n"/>
      <c r="N63" s="42" t="n"/>
      <c r="O63" s="42" t="n"/>
    </row>
    <row r="64">
      <c r="A64" s="39" t="n"/>
      <c r="B64" s="39" t="n"/>
      <c r="C64" s="39" t="n"/>
      <c r="D64" s="39" t="n"/>
      <c r="E64" s="39" t="n"/>
      <c r="F64" s="40" t="n"/>
      <c r="G64" s="39" t="n"/>
      <c r="H64" s="39" t="n"/>
      <c r="I64" s="39" t="n"/>
      <c r="J64" s="41" t="n"/>
      <c r="K64" s="40" t="n"/>
      <c r="L64" s="41" t="n"/>
      <c r="M64" s="40" t="n"/>
      <c r="N64" s="39" t="n"/>
      <c r="O64" s="39" t="n"/>
    </row>
    <row r="65">
      <c r="A65" s="42" t="n"/>
      <c r="B65" s="42" t="n"/>
      <c r="C65" s="42" t="n"/>
      <c r="D65" s="42" t="n"/>
      <c r="E65" s="42" t="n"/>
      <c r="F65" s="43" t="n"/>
      <c r="G65" s="42" t="n"/>
      <c r="H65" s="42" t="n"/>
      <c r="I65" s="42" t="n"/>
      <c r="J65" s="44" t="n"/>
      <c r="K65" s="43" t="n"/>
      <c r="L65" s="44" t="n"/>
      <c r="M65" s="43" t="n"/>
      <c r="N65" s="42" t="n"/>
      <c r="O65" s="42" t="n"/>
    </row>
    <row r="66">
      <c r="A66" s="39" t="n"/>
      <c r="B66" s="39" t="n"/>
      <c r="C66" s="39" t="n"/>
      <c r="D66" s="39" t="n"/>
      <c r="E66" s="39" t="n"/>
      <c r="F66" s="40" t="n"/>
      <c r="G66" s="39" t="n"/>
      <c r="H66" s="39" t="n"/>
      <c r="I66" s="39" t="n"/>
      <c r="J66" s="41" t="n"/>
      <c r="K66" s="40" t="n"/>
      <c r="L66" s="41" t="n"/>
      <c r="M66" s="40" t="n"/>
      <c r="N66" s="39" t="n"/>
      <c r="O66" s="39" t="n"/>
    </row>
    <row r="67">
      <c r="A67" s="42" t="n"/>
      <c r="B67" s="42" t="n"/>
      <c r="C67" s="42" t="n"/>
      <c r="D67" s="42" t="n"/>
      <c r="E67" s="42" t="n"/>
      <c r="F67" s="43" t="n"/>
      <c r="G67" s="42" t="n"/>
      <c r="H67" s="42" t="n"/>
      <c r="I67" s="42" t="n"/>
      <c r="J67" s="44" t="n"/>
      <c r="K67" s="43" t="n"/>
      <c r="L67" s="44" t="n"/>
      <c r="M67" s="43" t="n"/>
      <c r="N67" s="42" t="n"/>
      <c r="O67" s="42" t="n"/>
    </row>
    <row r="68">
      <c r="A68" s="39" t="n"/>
      <c r="B68" s="39" t="n"/>
      <c r="C68" s="39" t="n"/>
      <c r="D68" s="39" t="n"/>
      <c r="E68" s="39" t="n"/>
      <c r="F68" s="40" t="n"/>
      <c r="G68" s="39" t="n"/>
      <c r="H68" s="39" t="n"/>
      <c r="I68" s="39" t="n"/>
      <c r="J68" s="41" t="n"/>
      <c r="K68" s="40" t="n"/>
      <c r="L68" s="41" t="n"/>
      <c r="M68" s="40" t="n"/>
      <c r="N68" s="39" t="n"/>
      <c r="O68" s="39" t="n"/>
    </row>
    <row r="69">
      <c r="A69" s="42" t="n"/>
      <c r="B69" s="42" t="n"/>
      <c r="C69" s="42" t="n"/>
      <c r="D69" s="42" t="n"/>
      <c r="E69" s="42" t="n"/>
      <c r="F69" s="43" t="n"/>
      <c r="G69" s="42" t="n"/>
      <c r="H69" s="42" t="n"/>
      <c r="I69" s="42" t="n"/>
      <c r="J69" s="44" t="n"/>
      <c r="K69" s="43" t="n"/>
      <c r="L69" s="44" t="n"/>
      <c r="M69" s="43" t="n"/>
      <c r="N69" s="42" t="n"/>
      <c r="O69" s="42" t="n"/>
    </row>
    <row r="70">
      <c r="A70" s="39" t="n"/>
      <c r="B70" s="39" t="n"/>
      <c r="C70" s="39" t="n"/>
      <c r="D70" s="39" t="n"/>
      <c r="E70" s="39" t="n"/>
      <c r="F70" s="40" t="n"/>
      <c r="G70" s="39" t="n"/>
      <c r="H70" s="39" t="n"/>
      <c r="I70" s="39" t="n"/>
      <c r="J70" s="41" t="n"/>
      <c r="K70" s="40" t="n"/>
      <c r="L70" s="41" t="n"/>
      <c r="M70" s="40" t="n"/>
      <c r="N70" s="39" t="n"/>
      <c r="O70" s="39" t="n"/>
    </row>
    <row r="71">
      <c r="A71" s="42" t="n"/>
      <c r="B71" s="42" t="n"/>
      <c r="C71" s="42" t="n"/>
      <c r="D71" s="42" t="n"/>
      <c r="E71" s="42" t="n"/>
      <c r="F71" s="43" t="n"/>
      <c r="G71" s="42" t="n"/>
      <c r="H71" s="42" t="n"/>
      <c r="I71" s="42" t="n"/>
      <c r="J71" s="44" t="n"/>
      <c r="K71" s="43" t="n"/>
      <c r="L71" s="44" t="n"/>
      <c r="M71" s="43" t="n"/>
      <c r="N71" s="42" t="n"/>
      <c r="O71" s="42" t="n"/>
    </row>
    <row r="72">
      <c r="A72" s="39" t="n"/>
      <c r="B72" s="39" t="n"/>
      <c r="C72" s="39" t="n"/>
      <c r="D72" s="39" t="n"/>
      <c r="E72" s="39" t="n"/>
      <c r="F72" s="40" t="n"/>
      <c r="G72" s="39" t="n"/>
      <c r="H72" s="39" t="n"/>
      <c r="I72" s="39" t="n"/>
      <c r="J72" s="41" t="n"/>
      <c r="K72" s="40" t="n"/>
      <c r="L72" s="41" t="n"/>
      <c r="M72" s="40" t="n"/>
      <c r="N72" s="39" t="n"/>
      <c r="O72" s="39" t="n"/>
    </row>
    <row r="73">
      <c r="A73" s="42" t="n"/>
      <c r="B73" s="42" t="n"/>
      <c r="C73" s="42" t="n"/>
      <c r="D73" s="42" t="n"/>
      <c r="E73" s="42" t="n"/>
      <c r="F73" s="43" t="n"/>
      <c r="G73" s="42" t="n"/>
      <c r="H73" s="42" t="n"/>
      <c r="I73" s="42" t="n"/>
      <c r="J73" s="44" t="n"/>
      <c r="K73" s="43" t="n"/>
      <c r="L73" s="44" t="n"/>
      <c r="M73" s="43" t="n"/>
      <c r="N73" s="42" t="n"/>
      <c r="O73" s="42" t="n"/>
    </row>
    <row r="74">
      <c r="A74" s="39" t="n"/>
      <c r="B74" s="39" t="n"/>
      <c r="C74" s="39" t="n"/>
      <c r="D74" s="39" t="n"/>
      <c r="E74" s="39" t="n"/>
      <c r="F74" s="40" t="n"/>
      <c r="G74" s="39" t="n"/>
      <c r="H74" s="39" t="n"/>
      <c r="I74" s="39" t="n"/>
      <c r="J74" s="41" t="n"/>
      <c r="K74" s="40" t="n"/>
      <c r="L74" s="41" t="n"/>
      <c r="M74" s="40" t="n"/>
      <c r="N74" s="39" t="n"/>
      <c r="O74" s="39" t="n"/>
    </row>
    <row r="75">
      <c r="A75" s="42" t="n"/>
      <c r="B75" s="42" t="n"/>
      <c r="C75" s="42" t="n"/>
      <c r="D75" s="42" t="n"/>
      <c r="E75" s="42" t="n"/>
      <c r="F75" s="43" t="n"/>
      <c r="G75" s="42" t="n"/>
      <c r="H75" s="42" t="n"/>
      <c r="I75" s="42" t="n"/>
      <c r="J75" s="44" t="n"/>
      <c r="K75" s="43" t="n"/>
      <c r="L75" s="44" t="n"/>
      <c r="M75" s="43" t="n"/>
      <c r="N75" s="42" t="n"/>
      <c r="O75" s="42" t="n"/>
    </row>
    <row r="76">
      <c r="A76" s="39" t="n"/>
      <c r="B76" s="39" t="n"/>
      <c r="C76" s="39" t="n"/>
      <c r="D76" s="39" t="n"/>
      <c r="E76" s="39" t="n"/>
      <c r="F76" s="40" t="n"/>
      <c r="G76" s="39" t="n"/>
      <c r="H76" s="39" t="n"/>
      <c r="I76" s="39" t="n"/>
      <c r="J76" s="41" t="n"/>
      <c r="K76" s="40" t="n"/>
      <c r="L76" s="41" t="n"/>
      <c r="M76" s="40" t="n"/>
      <c r="N76" s="39" t="n"/>
      <c r="O76" s="39" t="n"/>
    </row>
    <row r="77">
      <c r="A77" s="42" t="n"/>
      <c r="B77" s="42" t="n"/>
      <c r="C77" s="42" t="n"/>
      <c r="D77" s="42" t="n"/>
      <c r="E77" s="42" t="n"/>
      <c r="F77" s="43" t="n"/>
      <c r="G77" s="42" t="n"/>
      <c r="H77" s="42" t="n"/>
      <c r="I77" s="42" t="n"/>
      <c r="J77" s="44" t="n"/>
      <c r="K77" s="43" t="n"/>
      <c r="L77" s="44" t="n"/>
      <c r="M77" s="43" t="n"/>
      <c r="N77" s="42" t="n"/>
      <c r="O77" s="42" t="n"/>
    </row>
    <row r="78">
      <c r="A78" s="39" t="n"/>
      <c r="B78" s="39" t="n"/>
      <c r="C78" s="39" t="n"/>
      <c r="D78" s="39" t="n"/>
      <c r="E78" s="39" t="n"/>
      <c r="F78" s="40" t="n"/>
      <c r="G78" s="39" t="n"/>
      <c r="H78" s="39" t="n"/>
      <c r="I78" s="39" t="n"/>
      <c r="J78" s="41" t="n"/>
      <c r="K78" s="40" t="n"/>
      <c r="L78" s="41" t="n"/>
      <c r="M78" s="40" t="n"/>
      <c r="N78" s="39" t="n"/>
      <c r="O78" s="39" t="n"/>
    </row>
    <row r="79">
      <c r="A79" s="42" t="n"/>
      <c r="B79" s="42" t="n"/>
      <c r="C79" s="42" t="n"/>
      <c r="D79" s="42" t="n"/>
      <c r="E79" s="42" t="n"/>
      <c r="F79" s="43" t="n"/>
      <c r="G79" s="42" t="n"/>
      <c r="H79" s="42" t="n"/>
      <c r="I79" s="42" t="n"/>
      <c r="J79" s="44" t="n"/>
      <c r="K79" s="43" t="n"/>
      <c r="L79" s="44" t="n"/>
      <c r="M79" s="43" t="n"/>
      <c r="N79" s="42" t="n"/>
      <c r="O79" s="42" t="n"/>
    </row>
    <row r="80">
      <c r="A80" s="39" t="n"/>
      <c r="B80" s="39" t="n"/>
      <c r="C80" s="39" t="n"/>
      <c r="D80" s="39" t="n"/>
      <c r="E80" s="39" t="n"/>
      <c r="F80" s="40" t="n"/>
      <c r="G80" s="39" t="n"/>
      <c r="H80" s="39" t="n"/>
      <c r="I80" s="39" t="n"/>
      <c r="J80" s="41" t="n"/>
      <c r="K80" s="40" t="n"/>
      <c r="L80" s="41" t="n"/>
      <c r="M80" s="40" t="n"/>
      <c r="N80" s="39" t="n"/>
      <c r="O80" s="39" t="n"/>
    </row>
    <row r="81">
      <c r="A81" s="42" t="n"/>
      <c r="B81" s="42" t="n"/>
      <c r="C81" s="42" t="n"/>
      <c r="D81" s="42" t="n"/>
      <c r="E81" s="42" t="n"/>
      <c r="F81" s="43" t="n"/>
      <c r="G81" s="42" t="n"/>
      <c r="H81" s="42" t="n"/>
      <c r="I81" s="42" t="n"/>
      <c r="J81" s="44" t="n"/>
      <c r="K81" s="43" t="n"/>
      <c r="L81" s="44" t="n"/>
      <c r="M81" s="43" t="n"/>
      <c r="N81" s="42" t="n"/>
      <c r="O81" s="42" t="n"/>
    </row>
    <row r="82">
      <c r="A82" s="39" t="n"/>
      <c r="B82" s="39" t="n"/>
      <c r="C82" s="39" t="n"/>
      <c r="D82" s="39" t="n"/>
      <c r="E82" s="39" t="n"/>
      <c r="F82" s="40" t="n"/>
      <c r="G82" s="39" t="n"/>
      <c r="H82" s="39" t="n"/>
      <c r="I82" s="39" t="n"/>
      <c r="J82" s="41" t="n"/>
      <c r="K82" s="40" t="n"/>
      <c r="L82" s="41" t="n"/>
      <c r="M82" s="40" t="n"/>
      <c r="N82" s="39" t="n"/>
      <c r="O82" s="39" t="n"/>
    </row>
    <row r="83">
      <c r="A83" s="42" t="n"/>
      <c r="B83" s="42" t="n"/>
      <c r="C83" s="42" t="n"/>
      <c r="D83" s="42" t="n"/>
      <c r="E83" s="42" t="n"/>
      <c r="F83" s="43" t="n"/>
      <c r="G83" s="42" t="n"/>
      <c r="H83" s="42" t="n"/>
      <c r="I83" s="42" t="n"/>
      <c r="J83" s="44" t="n"/>
      <c r="K83" s="43" t="n"/>
      <c r="L83" s="44" t="n"/>
      <c r="M83" s="43" t="n"/>
      <c r="N83" s="42" t="n"/>
      <c r="O83" s="42" t="n"/>
    </row>
    <row r="84">
      <c r="A84" s="39" t="n"/>
      <c r="B84" s="39" t="n"/>
      <c r="C84" s="39" t="n"/>
      <c r="D84" s="39" t="n"/>
      <c r="E84" s="39" t="n"/>
      <c r="F84" s="40" t="n"/>
      <c r="G84" s="39" t="n"/>
      <c r="H84" s="39" t="n"/>
      <c r="I84" s="39" t="n"/>
      <c r="J84" s="41" t="n"/>
      <c r="K84" s="40" t="n"/>
      <c r="L84" s="41" t="n"/>
      <c r="M84" s="40" t="n"/>
      <c r="N84" s="39" t="n"/>
      <c r="O84" s="39" t="n"/>
    </row>
    <row r="85">
      <c r="A85" s="42" t="n"/>
      <c r="B85" s="42" t="n"/>
      <c r="C85" s="42" t="n"/>
      <c r="D85" s="42" t="n"/>
      <c r="E85" s="42" t="n"/>
      <c r="F85" s="43" t="n"/>
      <c r="G85" s="42" t="n"/>
      <c r="H85" s="42" t="n"/>
      <c r="I85" s="42" t="n"/>
      <c r="J85" s="44" t="n"/>
      <c r="K85" s="43" t="n"/>
      <c r="L85" s="44" t="n"/>
      <c r="M85" s="43" t="n"/>
      <c r="N85" s="42" t="n"/>
      <c r="O85" s="42" t="n"/>
    </row>
    <row r="86">
      <c r="A86" s="39" t="n"/>
      <c r="B86" s="39" t="n"/>
      <c r="C86" s="39" t="n"/>
      <c r="D86" s="39" t="n"/>
      <c r="E86" s="39" t="n"/>
      <c r="F86" s="40" t="n"/>
      <c r="G86" s="39" t="n"/>
      <c r="H86" s="39" t="n"/>
      <c r="I86" s="39" t="n"/>
      <c r="J86" s="41" t="n"/>
      <c r="K86" s="40" t="n"/>
      <c r="L86" s="41" t="n"/>
      <c r="M86" s="40" t="n"/>
      <c r="N86" s="39" t="n"/>
      <c r="O86" s="39" t="n"/>
    </row>
    <row r="87">
      <c r="A87" s="42" t="n"/>
      <c r="B87" s="42" t="n"/>
      <c r="C87" s="42" t="n"/>
      <c r="D87" s="42" t="n"/>
      <c r="E87" s="42" t="n"/>
      <c r="F87" s="43" t="n"/>
      <c r="G87" s="42" t="n"/>
      <c r="H87" s="42" t="n"/>
      <c r="I87" s="42" t="n"/>
      <c r="J87" s="44" t="n"/>
      <c r="K87" s="43" t="n"/>
      <c r="L87" s="44" t="n"/>
      <c r="M87" s="43" t="n"/>
      <c r="N87" s="42" t="n"/>
      <c r="O87" s="42" t="n"/>
    </row>
    <row r="88">
      <c r="A88" s="39" t="n"/>
      <c r="B88" s="39" t="n"/>
      <c r="C88" s="39" t="n"/>
      <c r="D88" s="39" t="n"/>
      <c r="E88" s="39" t="n"/>
      <c r="F88" s="40" t="n"/>
      <c r="G88" s="39" t="n"/>
      <c r="H88" s="39" t="n"/>
      <c r="I88" s="39" t="n"/>
      <c r="J88" s="41" t="n"/>
      <c r="K88" s="40" t="n"/>
      <c r="L88" s="41" t="n"/>
      <c r="M88" s="40" t="n"/>
      <c r="N88" s="39" t="n"/>
      <c r="O88" s="39" t="n"/>
    </row>
    <row r="89">
      <c r="A89" s="42" t="n"/>
      <c r="B89" s="42" t="n"/>
      <c r="C89" s="42" t="n"/>
      <c r="D89" s="42" t="n"/>
      <c r="E89" s="42" t="n"/>
      <c r="F89" s="43" t="n"/>
      <c r="G89" s="42" t="n"/>
      <c r="H89" s="42" t="n"/>
      <c r="I89" s="42" t="n"/>
      <c r="J89" s="44" t="n"/>
      <c r="K89" s="43" t="n"/>
      <c r="L89" s="44" t="n"/>
      <c r="M89" s="43" t="n"/>
      <c r="N89" s="42" t="n"/>
      <c r="O89" s="42" t="n"/>
    </row>
    <row r="90">
      <c r="A90" s="39" t="n"/>
      <c r="B90" s="39" t="n"/>
      <c r="C90" s="39" t="n"/>
      <c r="D90" s="39" t="n"/>
      <c r="E90" s="39" t="n"/>
      <c r="F90" s="40" t="n"/>
      <c r="G90" s="39" t="n"/>
      <c r="H90" s="39" t="n"/>
      <c r="I90" s="39" t="n"/>
      <c r="J90" s="41" t="n"/>
      <c r="K90" s="40" t="n"/>
      <c r="L90" s="41" t="n"/>
      <c r="M90" s="40" t="n"/>
      <c r="N90" s="39" t="n"/>
      <c r="O90" s="39" t="n"/>
    </row>
    <row r="91">
      <c r="A91" s="42" t="n"/>
      <c r="B91" s="42" t="n"/>
      <c r="C91" s="42" t="n"/>
      <c r="D91" s="42" t="n"/>
      <c r="E91" s="42" t="n"/>
      <c r="F91" s="43" t="n"/>
      <c r="G91" s="42" t="n"/>
      <c r="H91" s="42" t="n"/>
      <c r="I91" s="42" t="n"/>
      <c r="J91" s="44" t="n"/>
      <c r="K91" s="43" t="n"/>
      <c r="L91" s="44" t="n"/>
      <c r="M91" s="43" t="n"/>
      <c r="N91" s="42" t="n"/>
      <c r="O91" s="42" t="n"/>
    </row>
    <row r="92">
      <c r="A92" s="39" t="n"/>
      <c r="B92" s="39" t="n"/>
      <c r="C92" s="39" t="n"/>
      <c r="D92" s="39" t="n"/>
      <c r="E92" s="39" t="n"/>
      <c r="F92" s="40" t="n"/>
      <c r="G92" s="39" t="n"/>
      <c r="H92" s="39" t="n"/>
      <c r="I92" s="39" t="n"/>
      <c r="J92" s="41" t="n"/>
      <c r="K92" s="40" t="n"/>
      <c r="L92" s="41" t="n"/>
      <c r="M92" s="40" t="n"/>
      <c r="N92" s="39" t="n"/>
      <c r="O92" s="39" t="n"/>
    </row>
    <row r="93">
      <c r="A93" s="42" t="n"/>
      <c r="B93" s="42" t="n"/>
      <c r="C93" s="42" t="n"/>
      <c r="D93" s="42" t="n"/>
      <c r="E93" s="42" t="n"/>
      <c r="F93" s="43" t="n"/>
      <c r="G93" s="42" t="n"/>
      <c r="H93" s="42" t="n"/>
      <c r="I93" s="42" t="n"/>
      <c r="J93" s="44" t="n"/>
      <c r="K93" s="43" t="n"/>
      <c r="L93" s="44" t="n"/>
      <c r="M93" s="43" t="n"/>
      <c r="N93" s="42" t="n"/>
      <c r="O93" s="42" t="n"/>
    </row>
    <row r="94">
      <c r="A94" s="39" t="n"/>
      <c r="B94" s="39" t="n"/>
      <c r="C94" s="39" t="n"/>
      <c r="D94" s="39" t="n"/>
      <c r="E94" s="39" t="n"/>
      <c r="F94" s="40" t="n"/>
      <c r="G94" s="39" t="n"/>
      <c r="H94" s="39" t="n"/>
      <c r="I94" s="39" t="n"/>
      <c r="J94" s="41" t="n"/>
      <c r="K94" s="40" t="n"/>
      <c r="L94" s="41" t="n"/>
      <c r="M94" s="40" t="n"/>
      <c r="N94" s="39" t="n"/>
      <c r="O94" s="39" t="n"/>
    </row>
    <row r="95">
      <c r="A95" s="42" t="n"/>
      <c r="B95" s="42" t="n"/>
      <c r="C95" s="42" t="n"/>
      <c r="D95" s="42" t="n"/>
      <c r="E95" s="42" t="n"/>
      <c r="F95" s="43" t="n"/>
      <c r="G95" s="42" t="n"/>
      <c r="H95" s="42" t="n"/>
      <c r="I95" s="42" t="n"/>
      <c r="J95" s="44" t="n"/>
      <c r="K95" s="43" t="n"/>
      <c r="L95" s="44" t="n"/>
      <c r="M95" s="43" t="n"/>
      <c r="N95" s="42" t="n"/>
      <c r="O95" s="42" t="n"/>
    </row>
    <row r="96">
      <c r="A96" s="39" t="n"/>
      <c r="B96" s="39" t="n"/>
      <c r="C96" s="39" t="n"/>
      <c r="D96" s="39" t="n"/>
      <c r="E96" s="39" t="n"/>
      <c r="F96" s="40" t="n"/>
      <c r="G96" s="39" t="n"/>
      <c r="H96" s="39" t="n"/>
      <c r="I96" s="39" t="n"/>
      <c r="J96" s="41" t="n"/>
      <c r="K96" s="40" t="n"/>
      <c r="L96" s="41" t="n"/>
      <c r="M96" s="40" t="n"/>
      <c r="N96" s="39" t="n"/>
      <c r="O96" s="39" t="n"/>
    </row>
    <row r="97">
      <c r="A97" s="42" t="n"/>
      <c r="B97" s="42" t="n"/>
      <c r="C97" s="42" t="n"/>
      <c r="D97" s="42" t="n"/>
      <c r="E97" s="42" t="n"/>
      <c r="F97" s="43" t="n"/>
      <c r="G97" s="42" t="n"/>
      <c r="H97" s="42" t="n"/>
      <c r="I97" s="42" t="n"/>
      <c r="J97" s="44" t="n"/>
      <c r="K97" s="43" t="n"/>
      <c r="L97" s="44" t="n"/>
      <c r="M97" s="43" t="n"/>
      <c r="N97" s="42" t="n"/>
      <c r="O97" s="42" t="n"/>
    </row>
    <row r="98">
      <c r="A98" s="39" t="n"/>
      <c r="B98" s="39" t="n"/>
      <c r="C98" s="39" t="n"/>
      <c r="D98" s="39" t="n"/>
      <c r="E98" s="39" t="n"/>
      <c r="F98" s="40" t="n"/>
      <c r="G98" s="39" t="n"/>
      <c r="H98" s="39" t="n"/>
      <c r="I98" s="39" t="n"/>
      <c r="J98" s="41" t="n"/>
      <c r="K98" s="40" t="n"/>
      <c r="L98" s="41" t="n"/>
      <c r="M98" s="40" t="n"/>
      <c r="N98" s="39" t="n"/>
      <c r="O98" s="39" t="n"/>
    </row>
    <row r="99">
      <c r="A99" s="42" t="n"/>
      <c r="B99" s="42" t="n"/>
      <c r="C99" s="42" t="n"/>
      <c r="D99" s="42" t="n"/>
      <c r="E99" s="42" t="n"/>
      <c r="F99" s="43" t="n"/>
      <c r="G99" s="42" t="n"/>
      <c r="H99" s="42" t="n"/>
      <c r="I99" s="42" t="n"/>
      <c r="J99" s="44" t="n"/>
      <c r="K99" s="43" t="n"/>
      <c r="L99" s="44" t="n"/>
      <c r="M99" s="43" t="n"/>
      <c r="N99" s="42" t="n"/>
      <c r="O99" s="42" t="n"/>
    </row>
    <row r="100">
      <c r="A100" s="39" t="n"/>
      <c r="B100" s="39" t="n"/>
      <c r="C100" s="39" t="n"/>
      <c r="D100" s="39" t="n"/>
      <c r="E100" s="39" t="n"/>
      <c r="F100" s="40" t="n"/>
      <c r="G100" s="39" t="n"/>
      <c r="H100" s="39" t="n"/>
      <c r="I100" s="39" t="n"/>
      <c r="J100" s="41" t="n"/>
      <c r="K100" s="40" t="n"/>
      <c r="L100" s="41" t="n"/>
      <c r="M100" s="40" t="n"/>
      <c r="N100" s="39" t="n"/>
      <c r="O100" s="39" t="n"/>
    </row>
    <row r="101">
      <c r="A101" s="42" t="n"/>
      <c r="B101" s="42" t="n"/>
      <c r="C101" s="42" t="n"/>
      <c r="D101" s="42" t="n"/>
      <c r="E101" s="42" t="n"/>
      <c r="F101" s="43" t="n"/>
      <c r="G101" s="42" t="n"/>
      <c r="H101" s="42" t="n"/>
      <c r="I101" s="42" t="n"/>
      <c r="J101" s="44" t="n"/>
      <c r="K101" s="43" t="n"/>
      <c r="L101" s="44" t="n"/>
      <c r="M101" s="43" t="n"/>
      <c r="N101" s="42" t="n"/>
      <c r="O101" s="42" t="n"/>
    </row>
    <row r="102">
      <c r="A102" s="39" t="n"/>
      <c r="B102" s="39" t="n"/>
      <c r="C102" s="39" t="n"/>
      <c r="D102" s="39" t="n"/>
      <c r="E102" s="39" t="n"/>
      <c r="F102" s="40" t="n"/>
      <c r="G102" s="39" t="n"/>
      <c r="H102" s="39" t="n"/>
      <c r="I102" s="39" t="n"/>
      <c r="J102" s="41" t="n"/>
      <c r="K102" s="40" t="n"/>
      <c r="L102" s="41" t="n"/>
      <c r="M102" s="40" t="n"/>
      <c r="N102" s="39" t="n"/>
      <c r="O102" s="39" t="n"/>
    </row>
    <row r="103">
      <c r="A103" s="42" t="n"/>
      <c r="B103" s="42" t="n"/>
      <c r="C103" s="42" t="n"/>
      <c r="D103" s="42" t="n"/>
      <c r="E103" s="42" t="n"/>
      <c r="F103" s="43" t="n"/>
      <c r="G103" s="42" t="n"/>
      <c r="H103" s="42" t="n"/>
      <c r="I103" s="42" t="n"/>
      <c r="J103" s="44" t="n"/>
      <c r="K103" s="43" t="n"/>
      <c r="L103" s="44" t="n"/>
      <c r="M103" s="43" t="n"/>
      <c r="N103" s="42" t="n"/>
      <c r="O103" s="42" t="n"/>
    </row>
    <row r="104">
      <c r="A104" s="39" t="n"/>
      <c r="B104" s="39" t="n"/>
      <c r="C104" s="39" t="n"/>
      <c r="D104" s="39" t="n"/>
      <c r="E104" s="39" t="n"/>
      <c r="F104" s="40" t="n"/>
      <c r="G104" s="39" t="n"/>
      <c r="H104" s="39" t="n"/>
      <c r="I104" s="39" t="n"/>
      <c r="J104" s="41" t="n"/>
      <c r="K104" s="40" t="n"/>
      <c r="L104" s="41" t="n"/>
      <c r="M104" s="40" t="n"/>
      <c r="N104" s="39" t="n"/>
      <c r="O104" s="39" t="n"/>
    </row>
    <row r="105">
      <c r="A105" s="42" t="n"/>
      <c r="B105" s="42" t="n"/>
      <c r="C105" s="42" t="n"/>
      <c r="D105" s="42" t="n"/>
      <c r="E105" s="42" t="n"/>
      <c r="F105" s="43" t="n"/>
      <c r="G105" s="42" t="n"/>
      <c r="H105" s="42" t="n"/>
      <c r="I105" s="42" t="n"/>
      <c r="J105" s="44" t="n"/>
      <c r="K105" s="43" t="n"/>
      <c r="L105" s="44" t="n"/>
      <c r="M105" s="43" t="n"/>
      <c r="N105" s="42" t="n"/>
      <c r="O105" s="42" t="n"/>
    </row>
    <row r="106">
      <c r="A106" s="39" t="n"/>
      <c r="B106" s="39" t="n"/>
      <c r="C106" s="39" t="n"/>
      <c r="D106" s="39" t="n"/>
      <c r="E106" s="39" t="n"/>
      <c r="F106" s="40" t="n"/>
      <c r="G106" s="39" t="n"/>
      <c r="H106" s="39" t="n"/>
      <c r="I106" s="39" t="n"/>
      <c r="J106" s="41" t="n"/>
      <c r="K106" s="40" t="n"/>
      <c r="L106" s="41" t="n"/>
      <c r="M106" s="40" t="n"/>
      <c r="N106" s="39" t="n"/>
      <c r="O106" s="39" t="n"/>
    </row>
    <row r="107">
      <c r="A107" s="42" t="n"/>
      <c r="B107" s="42" t="n"/>
      <c r="C107" s="42" t="n"/>
      <c r="D107" s="42" t="n"/>
      <c r="E107" s="42" t="n"/>
      <c r="F107" s="43" t="n"/>
      <c r="G107" s="42" t="n"/>
      <c r="H107" s="42" t="n"/>
      <c r="I107" s="42" t="n"/>
      <c r="J107" s="44" t="n"/>
      <c r="K107" s="43" t="n"/>
      <c r="L107" s="44" t="n"/>
      <c r="M107" s="43" t="n"/>
      <c r="N107" s="42" t="n"/>
      <c r="O107" s="42" t="n"/>
    </row>
    <row r="108">
      <c r="A108" s="39" t="n"/>
      <c r="B108" s="39" t="n"/>
      <c r="C108" s="39" t="n"/>
      <c r="D108" s="39" t="n"/>
      <c r="E108" s="39" t="n"/>
      <c r="F108" s="40" t="n"/>
      <c r="G108" s="39" t="n"/>
      <c r="H108" s="39" t="n"/>
      <c r="I108" s="39" t="n"/>
      <c r="J108" s="41" t="n"/>
      <c r="K108" s="40" t="n"/>
      <c r="L108" s="41" t="n"/>
      <c r="M108" s="40" t="n"/>
      <c r="N108" s="39" t="n"/>
      <c r="O108" s="39" t="n"/>
    </row>
    <row r="109">
      <c r="A109" s="42" t="n"/>
      <c r="B109" s="42" t="n"/>
      <c r="C109" s="42" t="n"/>
      <c r="D109" s="42" t="n"/>
      <c r="E109" s="42" t="n"/>
      <c r="F109" s="43" t="n"/>
      <c r="G109" s="42" t="n"/>
      <c r="H109" s="42" t="n"/>
      <c r="I109" s="42" t="n"/>
      <c r="J109" s="44" t="n"/>
      <c r="K109" s="43" t="n"/>
      <c r="L109" s="44" t="n"/>
      <c r="M109" s="43" t="n"/>
      <c r="N109" s="42" t="n"/>
      <c r="O109" s="42" t="n"/>
    </row>
    <row r="110">
      <c r="A110" s="39" t="n"/>
      <c r="B110" s="39" t="n"/>
      <c r="C110" s="39" t="n"/>
      <c r="D110" s="39" t="n"/>
      <c r="E110" s="39" t="n"/>
      <c r="F110" s="40" t="n"/>
      <c r="G110" s="39" t="n"/>
      <c r="H110" s="39" t="n"/>
      <c r="I110" s="39" t="n"/>
      <c r="J110" s="41" t="n"/>
      <c r="K110" s="40" t="n"/>
      <c r="L110" s="41" t="n"/>
      <c r="M110" s="40" t="n"/>
      <c r="N110" s="39" t="n"/>
      <c r="O110" s="39" t="n"/>
    </row>
    <row r="111">
      <c r="A111" s="42" t="n"/>
      <c r="B111" s="42" t="n"/>
      <c r="C111" s="42" t="n"/>
      <c r="D111" s="42" t="n"/>
      <c r="E111" s="42" t="n"/>
      <c r="F111" s="43" t="n"/>
      <c r="G111" s="42" t="n"/>
      <c r="H111" s="42" t="n"/>
      <c r="I111" s="42" t="n"/>
      <c r="J111" s="44" t="n"/>
      <c r="K111" s="43" t="n"/>
      <c r="L111" s="44" t="n"/>
      <c r="M111" s="43" t="n"/>
      <c r="N111" s="42" t="n"/>
      <c r="O111" s="42" t="n"/>
    </row>
    <row r="112">
      <c r="A112" s="39" t="n"/>
      <c r="B112" s="39" t="n"/>
      <c r="C112" s="39" t="n"/>
      <c r="D112" s="39" t="n"/>
      <c r="E112" s="39" t="n"/>
      <c r="F112" s="40" t="n"/>
      <c r="G112" s="39" t="n"/>
      <c r="H112" s="39" t="n"/>
      <c r="I112" s="39" t="n"/>
      <c r="J112" s="41" t="n"/>
      <c r="K112" s="40" t="n"/>
      <c r="L112" s="41" t="n"/>
      <c r="M112" s="40" t="n"/>
      <c r="N112" s="39" t="n"/>
      <c r="O112" s="39" t="n"/>
    </row>
    <row r="113">
      <c r="A113" s="42" t="n"/>
      <c r="B113" s="42" t="n"/>
      <c r="C113" s="42" t="n"/>
      <c r="D113" s="42" t="n"/>
      <c r="E113" s="42" t="n"/>
      <c r="F113" s="43" t="n"/>
      <c r="G113" s="42" t="n"/>
      <c r="H113" s="42" t="n"/>
      <c r="I113" s="42" t="n"/>
      <c r="J113" s="44" t="n"/>
      <c r="K113" s="43" t="n"/>
      <c r="L113" s="44" t="n"/>
      <c r="M113" s="43" t="n"/>
      <c r="N113" s="42" t="n"/>
      <c r="O113" s="42" t="n"/>
    </row>
    <row r="114">
      <c r="A114" s="39" t="n"/>
      <c r="B114" s="39" t="n"/>
      <c r="C114" s="39" t="n"/>
      <c r="D114" s="39" t="n"/>
      <c r="E114" s="39" t="n"/>
      <c r="F114" s="40" t="n"/>
      <c r="G114" s="39" t="n"/>
      <c r="H114" s="39" t="n"/>
      <c r="I114" s="39" t="n"/>
      <c r="J114" s="41" t="n"/>
      <c r="K114" s="40" t="n"/>
      <c r="L114" s="41" t="n"/>
      <c r="M114" s="40" t="n"/>
      <c r="N114" s="39" t="n"/>
      <c r="O114" s="39" t="n"/>
    </row>
    <row r="115">
      <c r="A115" s="42" t="n"/>
      <c r="B115" s="42" t="n"/>
      <c r="C115" s="42" t="n"/>
      <c r="D115" s="42" t="n"/>
      <c r="E115" s="42" t="n"/>
      <c r="F115" s="43" t="n"/>
      <c r="G115" s="42" t="n"/>
      <c r="H115" s="42" t="n"/>
      <c r="I115" s="42" t="n"/>
      <c r="J115" s="44" t="n"/>
      <c r="K115" s="43" t="n"/>
      <c r="L115" s="44" t="n"/>
      <c r="M115" s="43" t="n"/>
      <c r="N115" s="42" t="n"/>
      <c r="O115" s="42" t="n"/>
    </row>
    <row r="116">
      <c r="A116" s="39" t="n"/>
      <c r="B116" s="39" t="n"/>
      <c r="C116" s="39" t="n"/>
      <c r="D116" s="39" t="n"/>
      <c r="E116" s="39" t="n"/>
      <c r="F116" s="40" t="n"/>
      <c r="G116" s="39" t="n"/>
      <c r="H116" s="39" t="n"/>
      <c r="I116" s="39" t="n"/>
      <c r="J116" s="41" t="n"/>
      <c r="K116" s="40" t="n"/>
      <c r="L116" s="41" t="n"/>
      <c r="M116" s="40" t="n"/>
      <c r="N116" s="39" t="n"/>
      <c r="O116" s="39" t="n"/>
    </row>
    <row r="117">
      <c r="A117" s="42" t="n"/>
      <c r="B117" s="42" t="n"/>
      <c r="C117" s="42" t="n"/>
      <c r="D117" s="42" t="n"/>
      <c r="E117" s="42" t="n"/>
      <c r="F117" s="43" t="n"/>
      <c r="G117" s="42" t="n"/>
      <c r="H117" s="42" t="n"/>
      <c r="I117" s="42" t="n"/>
      <c r="J117" s="44" t="n"/>
      <c r="K117" s="43" t="n"/>
      <c r="L117" s="44" t="n"/>
      <c r="M117" s="43" t="n"/>
      <c r="N117" s="42" t="n"/>
      <c r="O117" s="42" t="n"/>
    </row>
    <row r="118">
      <c r="A118" s="39" t="n"/>
      <c r="B118" s="39" t="n"/>
      <c r="C118" s="39" t="n"/>
      <c r="D118" s="39" t="n"/>
      <c r="E118" s="39" t="n"/>
      <c r="F118" s="40" t="n"/>
      <c r="G118" s="39" t="n"/>
      <c r="H118" s="39" t="n"/>
      <c r="I118" s="39" t="n"/>
      <c r="J118" s="41" t="n"/>
      <c r="K118" s="40" t="n"/>
      <c r="L118" s="41" t="n"/>
      <c r="M118" s="40" t="n"/>
      <c r="N118" s="39" t="n"/>
      <c r="O118" s="39" t="n"/>
    </row>
    <row r="119">
      <c r="A119" s="42" t="n"/>
      <c r="B119" s="42" t="n"/>
      <c r="C119" s="42" t="n"/>
      <c r="D119" s="42" t="n"/>
      <c r="E119" s="42" t="n"/>
      <c r="F119" s="43" t="n"/>
      <c r="G119" s="42" t="n"/>
      <c r="H119" s="42" t="n"/>
      <c r="I119" s="42" t="n"/>
      <c r="J119" s="44" t="n"/>
      <c r="K119" s="43" t="n"/>
      <c r="L119" s="44" t="n"/>
      <c r="M119" s="43" t="n"/>
      <c r="N119" s="42" t="n"/>
      <c r="O119" s="42" t="n"/>
    </row>
    <row r="120">
      <c r="A120" s="39" t="n"/>
      <c r="B120" s="39" t="n"/>
      <c r="C120" s="39" t="n"/>
      <c r="D120" s="39" t="n"/>
      <c r="E120" s="39" t="n"/>
      <c r="F120" s="40" t="n"/>
      <c r="G120" s="39" t="n"/>
      <c r="H120" s="39" t="n"/>
      <c r="I120" s="39" t="n"/>
      <c r="J120" s="41" t="n"/>
      <c r="K120" s="40" t="n"/>
      <c r="L120" s="41" t="n"/>
      <c r="M120" s="40" t="n"/>
      <c r="N120" s="39" t="n"/>
      <c r="O120" s="39" t="n"/>
    </row>
    <row r="121">
      <c r="A121" s="42" t="n"/>
      <c r="B121" s="42" t="n"/>
      <c r="C121" s="42" t="n"/>
      <c r="D121" s="42" t="n"/>
      <c r="E121" s="42" t="n"/>
      <c r="F121" s="43" t="n"/>
      <c r="G121" s="42" t="n"/>
      <c r="H121" s="42" t="n"/>
      <c r="I121" s="42" t="n"/>
      <c r="J121" s="44" t="n"/>
      <c r="K121" s="43" t="n"/>
      <c r="L121" s="44" t="n"/>
      <c r="M121" s="43" t="n"/>
      <c r="N121" s="42" t="n"/>
      <c r="O121" s="42" t="n"/>
    </row>
    <row r="122">
      <c r="A122" s="39" t="n"/>
      <c r="B122" s="39" t="n"/>
      <c r="C122" s="39" t="n"/>
      <c r="D122" s="39" t="n"/>
      <c r="E122" s="39" t="n"/>
      <c r="F122" s="40" t="n"/>
      <c r="G122" s="39" t="n"/>
      <c r="H122" s="39" t="n"/>
      <c r="I122" s="39" t="n"/>
      <c r="J122" s="41" t="n"/>
      <c r="K122" s="40" t="n"/>
      <c r="L122" s="41" t="n"/>
      <c r="M122" s="40" t="n"/>
      <c r="N122" s="39" t="n"/>
      <c r="O122" s="39" t="n"/>
    </row>
    <row r="123">
      <c r="A123" s="42" t="n"/>
      <c r="B123" s="42" t="n"/>
      <c r="C123" s="42" t="n"/>
      <c r="D123" s="42" t="n"/>
      <c r="E123" s="42" t="n"/>
      <c r="F123" s="43" t="n"/>
      <c r="G123" s="42" t="n"/>
      <c r="H123" s="42" t="n"/>
      <c r="I123" s="42" t="n"/>
      <c r="J123" s="44" t="n"/>
      <c r="K123" s="43" t="n"/>
      <c r="L123" s="44" t="n"/>
      <c r="M123" s="43" t="n"/>
      <c r="N123" s="42" t="n"/>
      <c r="O123" s="42" t="n"/>
    </row>
    <row r="124">
      <c r="A124" s="39" t="n"/>
      <c r="B124" s="39" t="n"/>
      <c r="C124" s="39" t="n"/>
      <c r="D124" s="39" t="n"/>
      <c r="E124" s="39" t="n"/>
      <c r="F124" s="40" t="n"/>
      <c r="G124" s="39" t="n"/>
      <c r="H124" s="39" t="n"/>
      <c r="I124" s="39" t="n"/>
      <c r="J124" s="41" t="n"/>
      <c r="K124" s="40" t="n"/>
      <c r="L124" s="41" t="n"/>
      <c r="M124" s="40" t="n"/>
      <c r="N124" s="39" t="n"/>
      <c r="O124" s="39" t="n"/>
    </row>
    <row r="125">
      <c r="A125" s="42" t="n"/>
      <c r="B125" s="42" t="n"/>
      <c r="C125" s="42" t="n"/>
      <c r="D125" s="42" t="n"/>
      <c r="E125" s="42" t="n"/>
      <c r="F125" s="43" t="n"/>
      <c r="G125" s="42" t="n"/>
      <c r="H125" s="42" t="n"/>
      <c r="I125" s="42" t="n"/>
      <c r="J125" s="44" t="n"/>
      <c r="K125" s="43" t="n"/>
      <c r="L125" s="44" t="n"/>
      <c r="M125" s="43" t="n"/>
      <c r="N125" s="42" t="n"/>
      <c r="O125" s="42" t="n"/>
    </row>
    <row r="126">
      <c r="A126" s="39" t="n"/>
      <c r="B126" s="39" t="n"/>
      <c r="C126" s="39" t="n"/>
      <c r="D126" s="39" t="n"/>
      <c r="E126" s="39" t="n"/>
      <c r="F126" s="40" t="n"/>
      <c r="G126" s="39" t="n"/>
      <c r="H126" s="39" t="n"/>
      <c r="I126" s="39" t="n"/>
      <c r="J126" s="41" t="n"/>
      <c r="K126" s="40" t="n"/>
      <c r="L126" s="41" t="n"/>
      <c r="M126" s="40" t="n"/>
      <c r="N126" s="39" t="n"/>
      <c r="O126" s="39" t="n"/>
    </row>
    <row r="127">
      <c r="A127" s="42" t="n"/>
      <c r="B127" s="42" t="n"/>
      <c r="C127" s="42" t="n"/>
      <c r="D127" s="42" t="n"/>
      <c r="E127" s="42" t="n"/>
      <c r="F127" s="43" t="n"/>
      <c r="G127" s="42" t="n"/>
      <c r="H127" s="42" t="n"/>
      <c r="I127" s="42" t="n"/>
      <c r="J127" s="44" t="n"/>
      <c r="K127" s="43" t="n"/>
      <c r="L127" s="44" t="n"/>
      <c r="M127" s="43" t="n"/>
      <c r="N127" s="42" t="n"/>
      <c r="O127" s="42" t="n"/>
    </row>
    <row r="128">
      <c r="A128" s="39" t="n"/>
      <c r="B128" s="39" t="n"/>
      <c r="C128" s="39" t="n"/>
      <c r="D128" s="39" t="n"/>
      <c r="E128" s="39" t="n"/>
      <c r="F128" s="40" t="n"/>
      <c r="G128" s="39" t="n"/>
      <c r="H128" s="39" t="n"/>
      <c r="I128" s="39" t="n"/>
      <c r="J128" s="41" t="n"/>
      <c r="K128" s="40" t="n"/>
      <c r="L128" s="41" t="n"/>
      <c r="M128" s="40" t="n"/>
      <c r="N128" s="39" t="n"/>
      <c r="O128" s="39" t="n"/>
    </row>
    <row r="129">
      <c r="A129" s="42" t="n"/>
      <c r="B129" s="42" t="n"/>
      <c r="C129" s="42" t="n"/>
      <c r="D129" s="42" t="n"/>
      <c r="E129" s="42" t="n"/>
      <c r="F129" s="43" t="n"/>
      <c r="G129" s="42" t="n"/>
      <c r="H129" s="42" t="n"/>
      <c r="I129" s="42" t="n"/>
      <c r="J129" s="44" t="n"/>
      <c r="K129" s="43" t="n"/>
      <c r="L129" s="44" t="n"/>
      <c r="M129" s="43" t="n"/>
      <c r="N129" s="42" t="n"/>
      <c r="O129" s="42" t="n"/>
    </row>
    <row r="130">
      <c r="A130" s="39" t="n"/>
      <c r="B130" s="39" t="n"/>
      <c r="C130" s="39" t="n"/>
      <c r="D130" s="39" t="n"/>
      <c r="E130" s="39" t="n"/>
      <c r="F130" s="40" t="n"/>
      <c r="G130" s="39" t="n"/>
      <c r="H130" s="39" t="n"/>
      <c r="I130" s="39" t="n"/>
      <c r="J130" s="41" t="n"/>
      <c r="K130" s="40" t="n"/>
      <c r="L130" s="41" t="n"/>
      <c r="M130" s="40" t="n"/>
      <c r="N130" s="39" t="n"/>
      <c r="O130" s="39" t="n"/>
    </row>
    <row r="131">
      <c r="A131" s="42" t="n"/>
      <c r="B131" s="42" t="n"/>
      <c r="C131" s="42" t="n"/>
      <c r="D131" s="42" t="n"/>
      <c r="E131" s="42" t="n"/>
      <c r="F131" s="43" t="n"/>
      <c r="G131" s="42" t="n"/>
      <c r="H131" s="42" t="n"/>
      <c r="I131" s="42" t="n"/>
      <c r="J131" s="44" t="n"/>
      <c r="K131" s="43" t="n"/>
      <c r="L131" s="44" t="n"/>
      <c r="M131" s="43" t="n"/>
      <c r="N131" s="42" t="n"/>
      <c r="O131" s="42" t="n"/>
    </row>
    <row r="132">
      <c r="A132" s="39" t="n"/>
      <c r="B132" s="39" t="n"/>
      <c r="C132" s="39" t="n"/>
      <c r="D132" s="39" t="n"/>
      <c r="E132" s="39" t="n"/>
      <c r="F132" s="40" t="n"/>
      <c r="G132" s="39" t="n"/>
      <c r="H132" s="39" t="n"/>
      <c r="I132" s="39" t="n"/>
      <c r="J132" s="41" t="n"/>
      <c r="K132" s="40" t="n"/>
      <c r="L132" s="41" t="n"/>
      <c r="M132" s="40" t="n"/>
      <c r="N132" s="39" t="n"/>
      <c r="O132" s="39" t="n"/>
    </row>
    <row r="133">
      <c r="A133" s="42" t="n"/>
      <c r="B133" s="42" t="n"/>
      <c r="C133" s="42" t="n"/>
      <c r="D133" s="42" t="n"/>
      <c r="E133" s="42" t="n"/>
      <c r="F133" s="43" t="n"/>
      <c r="G133" s="42" t="n"/>
      <c r="H133" s="42" t="n"/>
      <c r="I133" s="42" t="n"/>
      <c r="J133" s="44" t="n"/>
      <c r="K133" s="43" t="n"/>
      <c r="L133" s="44" t="n"/>
      <c r="M133" s="43" t="n"/>
      <c r="N133" s="42" t="n"/>
      <c r="O133" s="42" t="n"/>
    </row>
    <row r="134">
      <c r="A134" s="39" t="n"/>
      <c r="B134" s="39" t="n"/>
      <c r="C134" s="39" t="n"/>
      <c r="D134" s="39" t="n"/>
      <c r="E134" s="39" t="n"/>
      <c r="F134" s="40" t="n"/>
      <c r="G134" s="39" t="n"/>
      <c r="H134" s="39" t="n"/>
      <c r="I134" s="39" t="n"/>
      <c r="J134" s="41" t="n"/>
      <c r="K134" s="40" t="n"/>
      <c r="L134" s="41" t="n"/>
      <c r="M134" s="40" t="n"/>
      <c r="N134" s="39" t="n"/>
      <c r="O134" s="39" t="n"/>
    </row>
    <row r="135">
      <c r="A135" s="42" t="n"/>
      <c r="B135" s="42" t="n"/>
      <c r="C135" s="42" t="n"/>
      <c r="D135" s="42" t="n"/>
      <c r="E135" s="42" t="n"/>
      <c r="F135" s="43" t="n"/>
      <c r="G135" s="42" t="n"/>
      <c r="H135" s="42" t="n"/>
      <c r="I135" s="42" t="n"/>
      <c r="J135" s="44" t="n"/>
      <c r="K135" s="43" t="n"/>
      <c r="L135" s="44" t="n"/>
      <c r="M135" s="43" t="n"/>
      <c r="N135" s="42" t="n"/>
      <c r="O135" s="42" t="n"/>
    </row>
    <row r="136">
      <c r="A136" s="39" t="n"/>
      <c r="B136" s="39" t="n"/>
      <c r="C136" s="39" t="n"/>
      <c r="D136" s="39" t="n"/>
      <c r="E136" s="39" t="n"/>
      <c r="F136" s="40" t="n"/>
      <c r="G136" s="39" t="n"/>
      <c r="H136" s="39" t="n"/>
      <c r="I136" s="39" t="n"/>
      <c r="J136" s="41" t="n"/>
      <c r="K136" s="40" t="n"/>
      <c r="L136" s="41" t="n"/>
      <c r="M136" s="40" t="n"/>
      <c r="N136" s="39" t="n"/>
      <c r="O136" s="39" t="n"/>
    </row>
    <row r="137">
      <c r="A137" s="42" t="n"/>
      <c r="B137" s="42" t="n"/>
      <c r="C137" s="42" t="n"/>
      <c r="D137" s="42" t="n"/>
      <c r="E137" s="42" t="n"/>
      <c r="F137" s="43" t="n"/>
      <c r="G137" s="42" t="n"/>
      <c r="H137" s="42" t="n"/>
      <c r="I137" s="42" t="n"/>
      <c r="J137" s="44" t="n"/>
      <c r="K137" s="43" t="n"/>
      <c r="L137" s="44" t="n"/>
      <c r="M137" s="43" t="n"/>
      <c r="N137" s="42" t="n"/>
      <c r="O137" s="42" t="n"/>
    </row>
    <row r="138">
      <c r="A138" s="39" t="n"/>
      <c r="B138" s="39" t="n"/>
      <c r="C138" s="39" t="n"/>
      <c r="D138" s="39" t="n"/>
      <c r="E138" s="39" t="n"/>
      <c r="F138" s="40" t="n"/>
      <c r="G138" s="39" t="n"/>
      <c r="H138" s="39" t="n"/>
      <c r="I138" s="39" t="n"/>
      <c r="J138" s="41" t="n"/>
      <c r="K138" s="40" t="n"/>
      <c r="L138" s="41" t="n"/>
      <c r="M138" s="40" t="n"/>
      <c r="N138" s="39" t="n"/>
      <c r="O138" s="39" t="n"/>
    </row>
    <row r="139">
      <c r="A139" s="42" t="n"/>
      <c r="B139" s="42" t="n"/>
      <c r="C139" s="42" t="n"/>
      <c r="D139" s="42" t="n"/>
      <c r="E139" s="42" t="n"/>
      <c r="F139" s="43" t="n"/>
      <c r="G139" s="42" t="n"/>
      <c r="H139" s="42" t="n"/>
      <c r="I139" s="42" t="n"/>
      <c r="J139" s="44" t="n"/>
      <c r="K139" s="43" t="n"/>
      <c r="L139" s="44" t="n"/>
      <c r="M139" s="43" t="n"/>
      <c r="N139" s="42" t="n"/>
      <c r="O139" s="42" t="n"/>
    </row>
    <row r="140">
      <c r="A140" s="39" t="n"/>
      <c r="B140" s="39" t="n"/>
      <c r="C140" s="39" t="n"/>
      <c r="D140" s="39" t="n"/>
      <c r="E140" s="39" t="n"/>
      <c r="F140" s="40" t="n"/>
      <c r="G140" s="39" t="n"/>
      <c r="H140" s="39" t="n"/>
      <c r="I140" s="39" t="n"/>
      <c r="J140" s="41" t="n"/>
      <c r="K140" s="40" t="n"/>
      <c r="L140" s="41" t="n"/>
      <c r="M140" s="40" t="n"/>
      <c r="N140" s="39" t="n"/>
      <c r="O140" s="39" t="n"/>
    </row>
    <row r="141">
      <c r="A141" s="42" t="n"/>
      <c r="B141" s="42" t="n"/>
      <c r="C141" s="42" t="n"/>
      <c r="D141" s="42" t="n"/>
      <c r="E141" s="42" t="n"/>
      <c r="F141" s="43" t="n"/>
      <c r="G141" s="42" t="n"/>
      <c r="H141" s="42" t="n"/>
      <c r="I141" s="42" t="n"/>
      <c r="J141" s="44" t="n"/>
      <c r="K141" s="43" t="n"/>
      <c r="L141" s="44" t="n"/>
      <c r="M141" s="43" t="n"/>
      <c r="N141" s="42" t="n"/>
      <c r="O141" s="42" t="n"/>
    </row>
    <row r="142">
      <c r="A142" s="39" t="n"/>
      <c r="B142" s="39" t="n"/>
      <c r="C142" s="39" t="n"/>
      <c r="D142" s="39" t="n"/>
      <c r="E142" s="39" t="n"/>
      <c r="F142" s="40" t="n"/>
      <c r="G142" s="39" t="n"/>
      <c r="H142" s="39" t="n"/>
      <c r="I142" s="39" t="n"/>
      <c r="J142" s="41" t="n"/>
      <c r="K142" s="40" t="n"/>
      <c r="L142" s="41" t="n"/>
      <c r="M142" s="40" t="n"/>
      <c r="N142" s="39" t="n"/>
      <c r="O142" s="39" t="n"/>
    </row>
    <row r="143">
      <c r="A143" s="42" t="n"/>
      <c r="B143" s="42" t="n"/>
      <c r="C143" s="42" t="n"/>
      <c r="D143" s="42" t="n"/>
      <c r="E143" s="42" t="n"/>
      <c r="F143" s="43" t="n"/>
      <c r="G143" s="42" t="n"/>
      <c r="H143" s="42" t="n"/>
      <c r="I143" s="42" t="n"/>
      <c r="J143" s="44" t="n"/>
      <c r="K143" s="43" t="n"/>
      <c r="L143" s="44" t="n"/>
      <c r="M143" s="43" t="n"/>
      <c r="N143" s="42" t="n"/>
      <c r="O143" s="42" t="n"/>
    </row>
    <row r="144">
      <c r="A144" s="39" t="n"/>
      <c r="B144" s="39" t="n"/>
      <c r="C144" s="39" t="n"/>
      <c r="D144" s="39" t="n"/>
      <c r="E144" s="39" t="n"/>
      <c r="F144" s="40" t="n"/>
      <c r="G144" s="39" t="n"/>
      <c r="H144" s="39" t="n"/>
      <c r="I144" s="39" t="n"/>
      <c r="J144" s="41" t="n"/>
      <c r="K144" s="40" t="n"/>
      <c r="L144" s="41" t="n"/>
      <c r="M144" s="40" t="n"/>
      <c r="N144" s="39" t="n"/>
      <c r="O144" s="39" t="n"/>
    </row>
    <row r="145">
      <c r="A145" s="42" t="n"/>
      <c r="B145" s="42" t="n"/>
      <c r="C145" s="42" t="n"/>
      <c r="D145" s="42" t="n"/>
      <c r="E145" s="42" t="n"/>
      <c r="F145" s="43" t="n"/>
      <c r="G145" s="42" t="n"/>
      <c r="H145" s="42" t="n"/>
      <c r="I145" s="42" t="n"/>
      <c r="J145" s="44" t="n"/>
      <c r="K145" s="43" t="n"/>
      <c r="L145" s="44" t="n"/>
      <c r="M145" s="43" t="n"/>
      <c r="N145" s="42" t="n"/>
      <c r="O145" s="42" t="n"/>
    </row>
    <row r="146">
      <c r="A146" s="39" t="n"/>
      <c r="B146" s="39" t="n"/>
      <c r="C146" s="39" t="n"/>
      <c r="D146" s="39" t="n"/>
      <c r="E146" s="39" t="n"/>
      <c r="F146" s="40" t="n"/>
      <c r="G146" s="39" t="n"/>
      <c r="H146" s="39" t="n"/>
      <c r="I146" s="39" t="n"/>
      <c r="J146" s="41" t="n"/>
      <c r="K146" s="40" t="n"/>
      <c r="L146" s="41" t="n"/>
      <c r="M146" s="40" t="n"/>
      <c r="N146" s="39" t="n"/>
      <c r="O146" s="39" t="n"/>
    </row>
    <row r="147">
      <c r="A147" s="42" t="n"/>
      <c r="B147" s="42" t="n"/>
      <c r="C147" s="42" t="n"/>
      <c r="D147" s="42" t="n"/>
      <c r="E147" s="42" t="n"/>
      <c r="F147" s="43" t="n"/>
      <c r="G147" s="42" t="n"/>
      <c r="H147" s="42" t="n"/>
      <c r="I147" s="42" t="n"/>
      <c r="J147" s="44" t="n"/>
      <c r="K147" s="43" t="n"/>
      <c r="L147" s="44" t="n"/>
      <c r="M147" s="43" t="n"/>
      <c r="N147" s="42" t="n"/>
      <c r="O147" s="42" t="n"/>
    </row>
    <row r="148">
      <c r="A148" s="39" t="n"/>
      <c r="B148" s="39" t="n"/>
      <c r="C148" s="39" t="n"/>
      <c r="D148" s="39" t="n"/>
      <c r="E148" s="39" t="n"/>
      <c r="F148" s="40" t="n"/>
      <c r="G148" s="39" t="n"/>
      <c r="H148" s="39" t="n"/>
      <c r="I148" s="39" t="n"/>
      <c r="J148" s="41" t="n"/>
      <c r="K148" s="40" t="n"/>
      <c r="L148" s="41" t="n"/>
      <c r="M148" s="40" t="n"/>
      <c r="N148" s="39" t="n"/>
      <c r="O148" s="39" t="n"/>
    </row>
    <row r="149">
      <c r="A149" s="42" t="n"/>
      <c r="B149" s="42" t="n"/>
      <c r="C149" s="42" t="n"/>
      <c r="D149" s="42" t="n"/>
      <c r="E149" s="42" t="n"/>
      <c r="F149" s="43" t="n"/>
      <c r="G149" s="42" t="n"/>
      <c r="H149" s="42" t="n"/>
      <c r="I149" s="42" t="n"/>
      <c r="J149" s="44" t="n"/>
      <c r="K149" s="43" t="n"/>
      <c r="L149" s="44" t="n"/>
      <c r="M149" s="43" t="n"/>
      <c r="N149" s="42" t="n"/>
      <c r="O149" s="42" t="n"/>
    </row>
    <row r="150">
      <c r="A150" s="39" t="n"/>
      <c r="B150" s="39" t="n"/>
      <c r="C150" s="39" t="n"/>
      <c r="D150" s="39" t="n"/>
      <c r="E150" s="39" t="n"/>
      <c r="F150" s="40" t="n"/>
      <c r="G150" s="39" t="n"/>
      <c r="H150" s="39" t="n"/>
      <c r="I150" s="39" t="n"/>
      <c r="J150" s="41" t="n"/>
      <c r="K150" s="40" t="n"/>
      <c r="L150" s="41" t="n"/>
      <c r="M150" s="40" t="n"/>
      <c r="N150" s="39" t="n"/>
      <c r="O150" s="39" t="n"/>
    </row>
    <row r="151">
      <c r="A151" s="42" t="n"/>
      <c r="B151" s="42" t="n"/>
      <c r="C151" s="42" t="n"/>
      <c r="D151" s="42" t="n"/>
      <c r="E151" s="42" t="n"/>
      <c r="F151" s="43" t="n"/>
      <c r="G151" s="42" t="n"/>
      <c r="H151" s="42" t="n"/>
      <c r="I151" s="42" t="n"/>
      <c r="J151" s="44" t="n"/>
      <c r="K151" s="43" t="n"/>
      <c r="L151" s="44" t="n"/>
      <c r="M151" s="43" t="n"/>
      <c r="N151" s="42" t="n"/>
      <c r="O151" s="42" t="n"/>
    </row>
    <row r="152">
      <c r="A152" s="39" t="n"/>
      <c r="B152" s="39" t="n"/>
      <c r="C152" s="39" t="n"/>
      <c r="D152" s="39" t="n"/>
      <c r="E152" s="39" t="n"/>
      <c r="F152" s="40" t="n"/>
      <c r="G152" s="39" t="n"/>
      <c r="H152" s="39" t="n"/>
      <c r="I152" s="39" t="n"/>
      <c r="J152" s="41" t="n"/>
      <c r="K152" s="40" t="n"/>
      <c r="L152" s="41" t="n"/>
      <c r="M152" s="40" t="n"/>
      <c r="N152" s="39" t="n"/>
      <c r="O152" s="39" t="n"/>
    </row>
    <row r="153">
      <c r="A153" s="42" t="n"/>
      <c r="B153" s="42" t="n"/>
      <c r="C153" s="42" t="n"/>
      <c r="D153" s="42" t="n"/>
      <c r="E153" s="42" t="n"/>
      <c r="F153" s="43" t="n"/>
      <c r="G153" s="42" t="n"/>
      <c r="H153" s="42" t="n"/>
      <c r="I153" s="42" t="n"/>
      <c r="J153" s="44" t="n"/>
      <c r="K153" s="43" t="n"/>
      <c r="L153" s="44" t="n"/>
      <c r="M153" s="43" t="n"/>
      <c r="N153" s="42" t="n"/>
      <c r="O153" s="42" t="n"/>
    </row>
    <row r="154">
      <c r="A154" s="39" t="n"/>
      <c r="B154" s="39" t="n"/>
      <c r="C154" s="39" t="n"/>
      <c r="D154" s="39" t="n"/>
      <c r="E154" s="39" t="n"/>
      <c r="F154" s="40" t="n"/>
      <c r="G154" s="39" t="n"/>
      <c r="H154" s="39" t="n"/>
      <c r="I154" s="39" t="n"/>
      <c r="J154" s="41" t="n"/>
      <c r="K154" s="40" t="n"/>
      <c r="L154" s="41" t="n"/>
      <c r="M154" s="40" t="n"/>
      <c r="N154" s="39" t="n"/>
      <c r="O154" s="39" t="n"/>
    </row>
    <row r="155">
      <c r="A155" s="42" t="n"/>
      <c r="B155" s="42" t="n"/>
      <c r="C155" s="42" t="n"/>
      <c r="D155" s="42" t="n"/>
      <c r="E155" s="42" t="n"/>
      <c r="F155" s="43" t="n"/>
      <c r="G155" s="42" t="n"/>
      <c r="H155" s="42" t="n"/>
      <c r="I155" s="42" t="n"/>
      <c r="J155" s="44" t="n"/>
      <c r="K155" s="43" t="n"/>
      <c r="L155" s="44" t="n"/>
      <c r="M155" s="43" t="n"/>
      <c r="N155" s="42" t="n"/>
      <c r="O155" s="42" t="n"/>
    </row>
    <row r="156">
      <c r="A156" s="39" t="n"/>
      <c r="B156" s="39" t="n"/>
      <c r="C156" s="39" t="n"/>
      <c r="D156" s="39" t="n"/>
      <c r="E156" s="39" t="n"/>
      <c r="F156" s="40" t="n"/>
      <c r="G156" s="39" t="n"/>
      <c r="H156" s="39" t="n"/>
      <c r="I156" s="39" t="n"/>
      <c r="J156" s="41" t="n"/>
      <c r="K156" s="40" t="n"/>
      <c r="L156" s="41" t="n"/>
      <c r="M156" s="40" t="n"/>
      <c r="N156" s="39" t="n"/>
      <c r="O156" s="39" t="n"/>
    </row>
    <row r="157">
      <c r="A157" s="42" t="n"/>
      <c r="B157" s="42" t="n"/>
      <c r="C157" s="42" t="n"/>
      <c r="D157" s="42" t="n"/>
      <c r="E157" s="42" t="n"/>
      <c r="F157" s="43" t="n"/>
      <c r="G157" s="42" t="n"/>
      <c r="H157" s="42" t="n"/>
      <c r="I157" s="42" t="n"/>
      <c r="J157" s="44" t="n"/>
      <c r="K157" s="43" t="n"/>
      <c r="L157" s="44" t="n"/>
      <c r="M157" s="43" t="n"/>
      <c r="N157" s="42" t="n"/>
      <c r="O157" s="42" t="n"/>
    </row>
    <row r="158">
      <c r="A158" s="39" t="n"/>
      <c r="B158" s="39" t="n"/>
      <c r="C158" s="39" t="n"/>
      <c r="D158" s="39" t="n"/>
      <c r="E158" s="39" t="n"/>
      <c r="F158" s="40" t="n"/>
      <c r="G158" s="39" t="n"/>
      <c r="H158" s="39" t="n"/>
      <c r="I158" s="39" t="n"/>
      <c r="J158" s="41" t="n"/>
      <c r="K158" s="40" t="n"/>
      <c r="L158" s="41" t="n"/>
      <c r="M158" s="40" t="n"/>
      <c r="N158" s="39" t="n"/>
      <c r="O158" s="39" t="n"/>
    </row>
    <row r="159">
      <c r="A159" s="42" t="n"/>
      <c r="B159" s="42" t="n"/>
      <c r="C159" s="42" t="n"/>
      <c r="D159" s="42" t="n"/>
      <c r="E159" s="42" t="n"/>
      <c r="F159" s="43" t="n"/>
      <c r="G159" s="42" t="n"/>
      <c r="H159" s="42" t="n"/>
      <c r="I159" s="42" t="n"/>
      <c r="J159" s="44" t="n"/>
      <c r="K159" s="43" t="n"/>
      <c r="L159" s="44" t="n"/>
      <c r="M159" s="43" t="n"/>
      <c r="N159" s="42" t="n"/>
      <c r="O159" s="42" t="n"/>
    </row>
    <row r="160">
      <c r="A160" s="39" t="n"/>
      <c r="B160" s="39" t="n"/>
      <c r="C160" s="39" t="n"/>
      <c r="D160" s="39" t="n"/>
      <c r="E160" s="39" t="n"/>
      <c r="F160" s="40" t="n"/>
      <c r="G160" s="39" t="n"/>
      <c r="H160" s="39" t="n"/>
      <c r="I160" s="39" t="n"/>
      <c r="J160" s="41" t="n"/>
      <c r="K160" s="40" t="n"/>
      <c r="L160" s="41" t="n"/>
      <c r="M160" s="40" t="n"/>
      <c r="N160" s="39" t="n"/>
      <c r="O160" s="39" t="n"/>
    </row>
    <row r="161">
      <c r="A161" s="42" t="n"/>
      <c r="B161" s="42" t="n"/>
      <c r="C161" s="42" t="n"/>
      <c r="D161" s="42" t="n"/>
      <c r="E161" s="42" t="n"/>
      <c r="F161" s="43" t="n"/>
      <c r="G161" s="42" t="n"/>
      <c r="H161" s="42" t="n"/>
      <c r="I161" s="42" t="n"/>
      <c r="J161" s="44" t="n"/>
      <c r="K161" s="43" t="n"/>
      <c r="L161" s="44" t="n"/>
      <c r="M161" s="43" t="n"/>
      <c r="N161" s="42" t="n"/>
      <c r="O161" s="42" t="n"/>
    </row>
    <row r="162">
      <c r="A162" s="39" t="n"/>
      <c r="B162" s="39" t="n"/>
      <c r="C162" s="39" t="n"/>
      <c r="D162" s="39" t="n"/>
      <c r="E162" s="39" t="n"/>
      <c r="F162" s="40" t="n"/>
      <c r="G162" s="39" t="n"/>
      <c r="H162" s="39" t="n"/>
      <c r="I162" s="39" t="n"/>
      <c r="J162" s="41" t="n"/>
      <c r="K162" s="40" t="n"/>
      <c r="L162" s="41" t="n"/>
      <c r="M162" s="40" t="n"/>
      <c r="N162" s="39" t="n"/>
      <c r="O162" s="39" t="n"/>
    </row>
    <row r="163">
      <c r="A163" s="42" t="n"/>
      <c r="B163" s="42" t="n"/>
      <c r="C163" s="42" t="n"/>
      <c r="D163" s="42" t="n"/>
      <c r="E163" s="42" t="n"/>
      <c r="F163" s="43" t="n"/>
      <c r="G163" s="42" t="n"/>
      <c r="H163" s="42" t="n"/>
      <c r="I163" s="42" t="n"/>
      <c r="J163" s="44" t="n"/>
      <c r="K163" s="43" t="n"/>
      <c r="L163" s="44" t="n"/>
      <c r="M163" s="43" t="n"/>
      <c r="N163" s="42" t="n"/>
      <c r="O163" s="42" t="n"/>
    </row>
    <row r="164">
      <c r="A164" s="39" t="n"/>
      <c r="B164" s="39" t="n"/>
      <c r="C164" s="39" t="n"/>
      <c r="D164" s="39" t="n"/>
      <c r="E164" s="39" t="n"/>
      <c r="F164" s="40" t="n"/>
      <c r="G164" s="39" t="n"/>
      <c r="H164" s="39" t="n"/>
      <c r="I164" s="39" t="n"/>
      <c r="J164" s="41" t="n"/>
      <c r="K164" s="40" t="n"/>
      <c r="L164" s="41" t="n"/>
      <c r="M164" s="40" t="n"/>
      <c r="N164" s="39" t="n"/>
      <c r="O164" s="39" t="n"/>
    </row>
    <row r="165">
      <c r="A165" s="42" t="n"/>
      <c r="B165" s="42" t="n"/>
      <c r="C165" s="42" t="n"/>
      <c r="D165" s="42" t="n"/>
      <c r="E165" s="42" t="n"/>
      <c r="F165" s="43" t="n"/>
      <c r="G165" s="42" t="n"/>
      <c r="H165" s="42" t="n"/>
      <c r="I165" s="42" t="n"/>
      <c r="J165" s="44" t="n"/>
      <c r="K165" s="43" t="n"/>
      <c r="L165" s="44" t="n"/>
      <c r="M165" s="43" t="n"/>
      <c r="N165" s="42" t="n"/>
      <c r="O165" s="42" t="n"/>
    </row>
    <row r="166">
      <c r="A166" s="39" t="n"/>
      <c r="B166" s="39" t="n"/>
      <c r="C166" s="39" t="n"/>
      <c r="D166" s="39" t="n"/>
      <c r="E166" s="39" t="n"/>
      <c r="F166" s="40" t="n"/>
      <c r="G166" s="39" t="n"/>
      <c r="H166" s="39" t="n"/>
      <c r="I166" s="39" t="n"/>
      <c r="J166" s="41" t="n"/>
      <c r="K166" s="40" t="n"/>
      <c r="L166" s="41" t="n"/>
      <c r="M166" s="40" t="n"/>
      <c r="N166" s="39" t="n"/>
      <c r="O166" s="39" t="n"/>
    </row>
    <row r="167">
      <c r="A167" s="42" t="n"/>
      <c r="B167" s="42" t="n"/>
      <c r="C167" s="42" t="n"/>
      <c r="D167" s="42" t="n"/>
      <c r="E167" s="42" t="n"/>
      <c r="F167" s="43" t="n"/>
      <c r="G167" s="42" t="n"/>
      <c r="H167" s="42" t="n"/>
      <c r="I167" s="42" t="n"/>
      <c r="J167" s="44" t="n"/>
      <c r="K167" s="43" t="n"/>
      <c r="L167" s="44" t="n"/>
      <c r="M167" s="43" t="n"/>
      <c r="N167" s="42" t="n"/>
      <c r="O167" s="42" t="n"/>
    </row>
    <row r="168">
      <c r="A168" s="39" t="n"/>
      <c r="B168" s="39" t="n"/>
      <c r="C168" s="39" t="n"/>
      <c r="D168" s="39" t="n"/>
      <c r="E168" s="39" t="n"/>
      <c r="F168" s="40" t="n"/>
      <c r="G168" s="39" t="n"/>
      <c r="H168" s="39" t="n"/>
      <c r="I168" s="39" t="n"/>
      <c r="J168" s="41" t="n"/>
      <c r="K168" s="40" t="n"/>
      <c r="L168" s="41" t="n"/>
      <c r="M168" s="40" t="n"/>
      <c r="N168" s="39" t="n"/>
      <c r="O168" s="39" t="n"/>
    </row>
    <row r="169">
      <c r="A169" s="42" t="n"/>
      <c r="B169" s="42" t="n"/>
      <c r="C169" s="42" t="n"/>
      <c r="D169" s="42" t="n"/>
      <c r="E169" s="42" t="n"/>
      <c r="F169" s="43" t="n"/>
      <c r="G169" s="42" t="n"/>
      <c r="H169" s="42" t="n"/>
      <c r="I169" s="42" t="n"/>
      <c r="J169" s="44" t="n"/>
      <c r="K169" s="43" t="n"/>
      <c r="L169" s="44" t="n"/>
      <c r="M169" s="43" t="n"/>
      <c r="N169" s="42" t="n"/>
      <c r="O169" s="42" t="n"/>
    </row>
    <row r="170">
      <c r="A170" s="39" t="n"/>
      <c r="B170" s="39" t="n"/>
      <c r="C170" s="39" t="n"/>
      <c r="D170" s="39" t="n"/>
      <c r="E170" s="39" t="n"/>
      <c r="F170" s="40" t="n"/>
      <c r="G170" s="39" t="n"/>
      <c r="H170" s="39" t="n"/>
      <c r="I170" s="39" t="n"/>
      <c r="J170" s="41" t="n"/>
      <c r="K170" s="40" t="n"/>
      <c r="L170" s="41" t="n"/>
      <c r="M170" s="40" t="n"/>
      <c r="N170" s="39" t="n"/>
      <c r="O170" s="39" t="n"/>
    </row>
    <row r="171">
      <c r="A171" s="42" t="n"/>
      <c r="B171" s="42" t="n"/>
      <c r="C171" s="42" t="n"/>
      <c r="D171" s="42" t="n"/>
      <c r="E171" s="42" t="n"/>
      <c r="F171" s="43" t="n"/>
      <c r="G171" s="42" t="n"/>
      <c r="H171" s="42" t="n"/>
      <c r="I171" s="42" t="n"/>
      <c r="J171" s="44" t="n"/>
      <c r="K171" s="43" t="n"/>
      <c r="L171" s="44" t="n"/>
      <c r="M171" s="43" t="n"/>
      <c r="N171" s="42" t="n"/>
      <c r="O171" s="42" t="n"/>
    </row>
    <row r="172">
      <c r="A172" s="39" t="n"/>
      <c r="B172" s="39" t="n"/>
      <c r="C172" s="39" t="n"/>
      <c r="D172" s="39" t="n"/>
      <c r="E172" s="39" t="n"/>
      <c r="F172" s="40" t="n"/>
      <c r="G172" s="39" t="n"/>
      <c r="H172" s="39" t="n"/>
      <c r="I172" s="39" t="n"/>
      <c r="J172" s="41" t="n"/>
      <c r="K172" s="40" t="n"/>
      <c r="L172" s="41" t="n"/>
      <c r="M172" s="40" t="n"/>
      <c r="N172" s="39" t="n"/>
      <c r="O172" s="39" t="n"/>
    </row>
    <row r="173">
      <c r="A173" s="42" t="n"/>
      <c r="B173" s="42" t="n"/>
      <c r="C173" s="42" t="n"/>
      <c r="D173" s="42" t="n"/>
      <c r="E173" s="42" t="n"/>
      <c r="F173" s="43" t="n"/>
      <c r="G173" s="42" t="n"/>
      <c r="H173" s="42" t="n"/>
      <c r="I173" s="42" t="n"/>
      <c r="J173" s="44" t="n"/>
      <c r="K173" s="43" t="n"/>
      <c r="L173" s="44" t="n"/>
      <c r="M173" s="43" t="n"/>
      <c r="N173" s="42" t="n"/>
      <c r="O173" s="42" t="n"/>
    </row>
    <row r="174">
      <c r="A174" s="39" t="n"/>
      <c r="B174" s="39" t="n"/>
      <c r="C174" s="39" t="n"/>
      <c r="D174" s="39" t="n"/>
      <c r="E174" s="39" t="n"/>
      <c r="F174" s="40" t="n"/>
      <c r="G174" s="39" t="n"/>
      <c r="H174" s="39" t="n"/>
      <c r="I174" s="39" t="n"/>
      <c r="J174" s="41" t="n"/>
      <c r="K174" s="40" t="n"/>
      <c r="L174" s="41" t="n"/>
      <c r="M174" s="40" t="n"/>
      <c r="N174" s="39" t="n"/>
      <c r="O174" s="39" t="n"/>
    </row>
    <row r="175">
      <c r="A175" s="42" t="n"/>
      <c r="B175" s="42" t="n"/>
      <c r="C175" s="42" t="n"/>
      <c r="D175" s="42" t="n"/>
      <c r="E175" s="42" t="n"/>
      <c r="F175" s="43" t="n"/>
      <c r="G175" s="42" t="n"/>
      <c r="H175" s="42" t="n"/>
      <c r="I175" s="42" t="n"/>
      <c r="J175" s="44" t="n"/>
      <c r="K175" s="43" t="n"/>
      <c r="L175" s="44" t="n"/>
      <c r="M175" s="43" t="n"/>
      <c r="N175" s="42" t="n"/>
      <c r="O175" s="42" t="n"/>
    </row>
    <row r="176">
      <c r="A176" s="39" t="n"/>
      <c r="B176" s="39" t="n"/>
      <c r="C176" s="39" t="n"/>
      <c r="D176" s="39" t="n"/>
      <c r="E176" s="39" t="n"/>
      <c r="F176" s="40" t="n"/>
      <c r="G176" s="39" t="n"/>
      <c r="H176" s="39" t="n"/>
      <c r="I176" s="39" t="n"/>
      <c r="J176" s="41" t="n"/>
      <c r="K176" s="40" t="n"/>
      <c r="L176" s="41" t="n"/>
      <c r="M176" s="40" t="n"/>
      <c r="N176" s="39" t="n"/>
      <c r="O176" s="39" t="n"/>
    </row>
    <row r="177">
      <c r="A177" s="42" t="n"/>
      <c r="B177" s="42" t="n"/>
      <c r="C177" s="42" t="n"/>
      <c r="D177" s="42" t="n"/>
      <c r="E177" s="42" t="n"/>
      <c r="F177" s="43" t="n"/>
      <c r="G177" s="42" t="n"/>
      <c r="H177" s="42" t="n"/>
      <c r="I177" s="42" t="n"/>
      <c r="J177" s="44" t="n"/>
      <c r="K177" s="43" t="n"/>
      <c r="L177" s="44" t="n"/>
      <c r="M177" s="43" t="n"/>
      <c r="N177" s="42" t="n"/>
      <c r="O177" s="42" t="n"/>
    </row>
    <row r="178">
      <c r="A178" s="39" t="n"/>
      <c r="B178" s="39" t="n"/>
      <c r="C178" s="39" t="n"/>
      <c r="D178" s="39" t="n"/>
      <c r="E178" s="39" t="n"/>
      <c r="F178" s="40" t="n"/>
      <c r="G178" s="39" t="n"/>
      <c r="H178" s="39" t="n"/>
      <c r="I178" s="39" t="n"/>
      <c r="J178" s="41" t="n"/>
      <c r="K178" s="40" t="n"/>
      <c r="L178" s="41" t="n"/>
      <c r="M178" s="40" t="n"/>
      <c r="N178" s="39" t="n"/>
      <c r="O178" s="39" t="n"/>
    </row>
    <row r="179">
      <c r="A179" s="42" t="n"/>
      <c r="B179" s="42" t="n"/>
      <c r="C179" s="42" t="n"/>
      <c r="D179" s="42" t="n"/>
      <c r="E179" s="42" t="n"/>
      <c r="F179" s="43" t="n"/>
      <c r="G179" s="42" t="n"/>
      <c r="H179" s="42" t="n"/>
      <c r="I179" s="42" t="n"/>
      <c r="J179" s="44" t="n"/>
      <c r="K179" s="43" t="n"/>
      <c r="L179" s="44" t="n"/>
      <c r="M179" s="43" t="n"/>
      <c r="N179" s="42" t="n"/>
      <c r="O179" s="42" t="n"/>
    </row>
    <row r="180">
      <c r="A180" s="39" t="n"/>
      <c r="B180" s="39" t="n"/>
      <c r="C180" s="39" t="n"/>
      <c r="D180" s="39" t="n"/>
      <c r="E180" s="39" t="n"/>
      <c r="F180" s="40" t="n"/>
      <c r="G180" s="39" t="n"/>
      <c r="H180" s="39" t="n"/>
      <c r="I180" s="39" t="n"/>
      <c r="J180" s="41" t="n"/>
      <c r="K180" s="40" t="n"/>
      <c r="L180" s="41" t="n"/>
      <c r="M180" s="40" t="n"/>
      <c r="N180" s="39" t="n"/>
      <c r="O180" s="39" t="n"/>
    </row>
    <row r="181">
      <c r="A181" s="42" t="n"/>
      <c r="B181" s="42" t="n"/>
      <c r="C181" s="42" t="n"/>
      <c r="D181" s="42" t="n"/>
      <c r="E181" s="42" t="n"/>
      <c r="F181" s="43" t="n"/>
      <c r="G181" s="42" t="n"/>
      <c r="H181" s="42" t="n"/>
      <c r="I181" s="42" t="n"/>
      <c r="J181" s="44" t="n"/>
      <c r="K181" s="43" t="n"/>
      <c r="L181" s="44" t="n"/>
      <c r="M181" s="43" t="n"/>
      <c r="N181" s="42" t="n"/>
      <c r="O181" s="42" t="n"/>
    </row>
    <row r="182">
      <c r="A182" s="39" t="n"/>
      <c r="B182" s="39" t="n"/>
      <c r="C182" s="39" t="n"/>
      <c r="D182" s="39" t="n"/>
      <c r="E182" s="39" t="n"/>
      <c r="F182" s="40" t="n"/>
      <c r="G182" s="39" t="n"/>
      <c r="H182" s="39" t="n"/>
      <c r="I182" s="39" t="n"/>
      <c r="J182" s="41" t="n"/>
      <c r="K182" s="40" t="n"/>
      <c r="L182" s="41" t="n"/>
      <c r="M182" s="40" t="n"/>
      <c r="N182" s="39" t="n"/>
      <c r="O182" s="39" t="n"/>
    </row>
    <row r="183">
      <c r="A183" s="42" t="n"/>
      <c r="B183" s="42" t="n"/>
      <c r="C183" s="42" t="n"/>
      <c r="D183" s="42" t="n"/>
      <c r="E183" s="42" t="n"/>
      <c r="F183" s="43" t="n"/>
      <c r="G183" s="42" t="n"/>
      <c r="H183" s="42" t="n"/>
      <c r="I183" s="42" t="n"/>
      <c r="J183" s="44" t="n"/>
      <c r="K183" s="43" t="n"/>
      <c r="L183" s="44" t="n"/>
      <c r="M183" s="43" t="n"/>
      <c r="N183" s="42" t="n"/>
      <c r="O183" s="42" t="n"/>
    </row>
    <row r="184">
      <c r="A184" s="39" t="n"/>
      <c r="B184" s="39" t="n"/>
      <c r="C184" s="39" t="n"/>
      <c r="D184" s="39" t="n"/>
      <c r="E184" s="39" t="n"/>
      <c r="F184" s="40" t="n"/>
      <c r="G184" s="39" t="n"/>
      <c r="H184" s="39" t="n"/>
      <c r="I184" s="39" t="n"/>
      <c r="J184" s="41" t="n"/>
      <c r="K184" s="40" t="n"/>
      <c r="L184" s="41" t="n"/>
      <c r="M184" s="40" t="n"/>
      <c r="N184" s="39" t="n"/>
      <c r="O184" s="39" t="n"/>
    </row>
    <row r="185">
      <c r="A185" s="42" t="n"/>
      <c r="B185" s="42" t="n"/>
      <c r="C185" s="42" t="n"/>
      <c r="D185" s="42" t="n"/>
      <c r="E185" s="42" t="n"/>
      <c r="F185" s="43" t="n"/>
      <c r="G185" s="42" t="n"/>
      <c r="H185" s="42" t="n"/>
      <c r="I185" s="42" t="n"/>
      <c r="J185" s="44" t="n"/>
      <c r="K185" s="43" t="n"/>
      <c r="L185" s="44" t="n"/>
      <c r="M185" s="43" t="n"/>
      <c r="N185" s="42" t="n"/>
      <c r="O185" s="42" t="n"/>
    </row>
    <row r="186">
      <c r="A186" s="39" t="n"/>
      <c r="B186" s="39" t="n"/>
      <c r="C186" s="39" t="n"/>
      <c r="D186" s="39" t="n"/>
      <c r="E186" s="39" t="n"/>
      <c r="F186" s="40" t="n"/>
      <c r="G186" s="39" t="n"/>
      <c r="H186" s="39" t="n"/>
      <c r="I186" s="39" t="n"/>
      <c r="J186" s="41" t="n"/>
      <c r="K186" s="40" t="n"/>
      <c r="L186" s="41" t="n"/>
      <c r="M186" s="40" t="n"/>
      <c r="N186" s="39" t="n"/>
      <c r="O186" s="39" t="n"/>
    </row>
    <row r="187">
      <c r="A187" s="42" t="n"/>
      <c r="B187" s="42" t="n"/>
      <c r="C187" s="42" t="n"/>
      <c r="D187" s="42" t="n"/>
      <c r="E187" s="42" t="n"/>
      <c r="F187" s="43" t="n"/>
      <c r="G187" s="42" t="n"/>
      <c r="H187" s="42" t="n"/>
      <c r="I187" s="42" t="n"/>
      <c r="J187" s="44" t="n"/>
      <c r="K187" s="43" t="n"/>
      <c r="L187" s="44" t="n"/>
      <c r="M187" s="43" t="n"/>
      <c r="N187" s="42" t="n"/>
      <c r="O187" s="42" t="n"/>
    </row>
    <row r="188">
      <c r="A188" s="39" t="n"/>
      <c r="B188" s="39" t="n"/>
      <c r="C188" s="39" t="n"/>
      <c r="D188" s="39" t="n"/>
      <c r="E188" s="39" t="n"/>
      <c r="F188" s="40" t="n"/>
      <c r="G188" s="39" t="n"/>
      <c r="H188" s="39" t="n"/>
      <c r="I188" s="39" t="n"/>
      <c r="J188" s="41" t="n"/>
      <c r="K188" s="40" t="n"/>
      <c r="L188" s="41" t="n"/>
      <c r="M188" s="40" t="n"/>
      <c r="N188" s="39" t="n"/>
      <c r="O188" s="39" t="n"/>
    </row>
    <row r="189">
      <c r="A189" s="42" t="n"/>
      <c r="B189" s="42" t="n"/>
      <c r="C189" s="42" t="n"/>
      <c r="D189" s="42" t="n"/>
      <c r="E189" s="42" t="n"/>
      <c r="F189" s="43" t="n"/>
      <c r="G189" s="42" t="n"/>
      <c r="H189" s="42" t="n"/>
      <c r="I189" s="42" t="n"/>
      <c r="J189" s="44" t="n"/>
      <c r="K189" s="43" t="n"/>
      <c r="L189" s="44" t="n"/>
      <c r="M189" s="43" t="n"/>
      <c r="N189" s="42" t="n"/>
      <c r="O189" s="42" t="n"/>
    </row>
    <row r="190">
      <c r="A190" s="39" t="n"/>
      <c r="B190" s="39" t="n"/>
      <c r="C190" s="39" t="n"/>
      <c r="D190" s="39" t="n"/>
      <c r="E190" s="39" t="n"/>
      <c r="F190" s="40" t="n"/>
      <c r="G190" s="39" t="n"/>
      <c r="H190" s="39" t="n"/>
      <c r="I190" s="39" t="n"/>
      <c r="J190" s="41" t="n"/>
      <c r="K190" s="40" t="n"/>
      <c r="L190" s="41" t="n"/>
      <c r="M190" s="40" t="n"/>
      <c r="N190" s="39" t="n"/>
      <c r="O190" s="39" t="n"/>
    </row>
    <row r="191">
      <c r="A191" s="42" t="n"/>
      <c r="B191" s="42" t="n"/>
      <c r="C191" s="42" t="n"/>
      <c r="D191" s="42" t="n"/>
      <c r="E191" s="42" t="n"/>
      <c r="F191" s="43" t="n"/>
      <c r="G191" s="42" t="n"/>
      <c r="H191" s="42" t="n"/>
      <c r="I191" s="42" t="n"/>
      <c r="J191" s="44" t="n"/>
      <c r="K191" s="43" t="n"/>
      <c r="L191" s="44" t="n"/>
      <c r="M191" s="43" t="n"/>
      <c r="N191" s="42" t="n"/>
      <c r="O191" s="42" t="n"/>
    </row>
    <row r="192">
      <c r="A192" s="39" t="n"/>
      <c r="B192" s="39" t="n"/>
      <c r="C192" s="39" t="n"/>
      <c r="D192" s="39" t="n"/>
      <c r="E192" s="39" t="n"/>
      <c r="F192" s="40" t="n"/>
      <c r="G192" s="39" t="n"/>
      <c r="H192" s="39" t="n"/>
      <c r="I192" s="39" t="n"/>
      <c r="J192" s="41" t="n"/>
      <c r="K192" s="40" t="n"/>
      <c r="L192" s="41" t="n"/>
      <c r="M192" s="40" t="n"/>
      <c r="N192" s="39" t="n"/>
      <c r="O192" s="39" t="n"/>
    </row>
    <row r="193">
      <c r="A193" s="42" t="n"/>
      <c r="B193" s="42" t="n"/>
      <c r="C193" s="42" t="n"/>
      <c r="D193" s="42" t="n"/>
      <c r="E193" s="42" t="n"/>
      <c r="F193" s="43" t="n"/>
      <c r="G193" s="42" t="n"/>
      <c r="H193" s="42" t="n"/>
      <c r="I193" s="42" t="n"/>
      <c r="J193" s="44" t="n"/>
      <c r="K193" s="43" t="n"/>
      <c r="L193" s="44" t="n"/>
      <c r="M193" s="43" t="n"/>
      <c r="N193" s="42" t="n"/>
      <c r="O193" s="42" t="n"/>
    </row>
    <row r="194">
      <c r="A194" s="39" t="n"/>
      <c r="B194" s="39" t="n"/>
      <c r="C194" s="39" t="n"/>
      <c r="D194" s="39" t="n"/>
      <c r="E194" s="39" t="n"/>
      <c r="F194" s="40" t="n"/>
      <c r="G194" s="39" t="n"/>
      <c r="H194" s="39" t="n"/>
      <c r="I194" s="39" t="n"/>
      <c r="J194" s="41" t="n"/>
      <c r="K194" s="40" t="n"/>
      <c r="L194" s="41" t="n"/>
      <c r="M194" s="40" t="n"/>
      <c r="N194" s="39" t="n"/>
      <c r="O194" s="39" t="n"/>
    </row>
    <row r="195">
      <c r="A195" s="42" t="n"/>
      <c r="B195" s="42" t="n"/>
      <c r="C195" s="42" t="n"/>
      <c r="D195" s="42" t="n"/>
      <c r="E195" s="42" t="n"/>
      <c r="F195" s="43" t="n"/>
      <c r="G195" s="42" t="n"/>
      <c r="H195" s="42" t="n"/>
      <c r="I195" s="42" t="n"/>
      <c r="J195" s="44" t="n"/>
      <c r="K195" s="43" t="n"/>
      <c r="L195" s="44" t="n"/>
      <c r="M195" s="43" t="n"/>
      <c r="N195" s="42" t="n"/>
      <c r="O195" s="42" t="n"/>
    </row>
    <row r="196">
      <c r="A196" s="39" t="n"/>
      <c r="B196" s="39" t="n"/>
      <c r="C196" s="39" t="n"/>
      <c r="D196" s="39" t="n"/>
      <c r="E196" s="39" t="n"/>
      <c r="F196" s="40" t="n"/>
      <c r="G196" s="39" t="n"/>
      <c r="H196" s="39" t="n"/>
      <c r="I196" s="39" t="n"/>
      <c r="J196" s="41" t="n"/>
      <c r="K196" s="40" t="n"/>
      <c r="L196" s="41" t="n"/>
      <c r="M196" s="40" t="n"/>
      <c r="N196" s="39" t="n"/>
      <c r="O196" s="39" t="n"/>
    </row>
    <row r="197">
      <c r="A197" s="42" t="n"/>
      <c r="B197" s="42" t="n"/>
      <c r="C197" s="42" t="n"/>
      <c r="D197" s="42" t="n"/>
      <c r="E197" s="42" t="n"/>
      <c r="F197" s="43" t="n"/>
      <c r="G197" s="42" t="n"/>
      <c r="H197" s="42" t="n"/>
      <c r="I197" s="42" t="n"/>
      <c r="J197" s="44" t="n"/>
      <c r="K197" s="43" t="n"/>
      <c r="L197" s="44" t="n"/>
      <c r="M197" s="43" t="n"/>
      <c r="N197" s="42" t="n"/>
      <c r="O197" s="42" t="n"/>
    </row>
    <row r="198">
      <c r="A198" s="39" t="n"/>
      <c r="B198" s="39" t="n"/>
      <c r="C198" s="39" t="n"/>
      <c r="D198" s="39" t="n"/>
      <c r="E198" s="39" t="n"/>
      <c r="F198" s="40" t="n"/>
      <c r="G198" s="39" t="n"/>
      <c r="H198" s="39" t="n"/>
      <c r="I198" s="39" t="n"/>
      <c r="J198" s="41" t="n"/>
      <c r="K198" s="40" t="n"/>
      <c r="L198" s="41" t="n"/>
      <c r="M198" s="40" t="n"/>
      <c r="N198" s="39" t="n"/>
      <c r="O198" s="39" t="n"/>
    </row>
    <row r="199">
      <c r="A199" s="42" t="n"/>
      <c r="B199" s="42" t="n"/>
      <c r="C199" s="42" t="n"/>
      <c r="D199" s="42" t="n"/>
      <c r="E199" s="42" t="n"/>
      <c r="F199" s="43" t="n"/>
      <c r="G199" s="42" t="n"/>
      <c r="H199" s="42" t="n"/>
      <c r="I199" s="42" t="n"/>
      <c r="J199" s="44" t="n"/>
      <c r="K199" s="43" t="n"/>
      <c r="L199" s="44" t="n"/>
      <c r="M199" s="43" t="n"/>
      <c r="N199" s="42" t="n"/>
      <c r="O199" s="42" t="n"/>
    </row>
    <row r="200">
      <c r="A200" s="39" t="n"/>
      <c r="B200" s="39" t="n"/>
      <c r="C200" s="39" t="n"/>
      <c r="D200" s="39" t="n"/>
      <c r="E200" s="39" t="n"/>
      <c r="F200" s="40" t="n"/>
      <c r="G200" s="39" t="n"/>
      <c r="H200" s="39" t="n"/>
      <c r="I200" s="39" t="n"/>
      <c r="J200" s="41" t="n"/>
      <c r="K200" s="40" t="n"/>
      <c r="L200" s="41" t="n"/>
      <c r="M200" s="40" t="n"/>
      <c r="N200" s="39" t="n"/>
      <c r="O200" s="39" t="n"/>
    </row>
  </sheetData>
  <autoFilter ref="A3:O200"/>
  <mergeCells count="2">
    <mergeCell ref="A1:O1"/>
    <mergeCell ref="A2:O2"/>
  </mergeCells>
  <conditionalFormatting sqref="M4:M200">
    <cfRule type="cellIs" priority="1" operator="lessThan" dxfId="3">
      <formula>TODAY()</formula>
    </cfRule>
    <cfRule type="cellIs" priority="2" operator="between" dxfId="4">
      <formula>TODAY()</formula>
      <formula>TODAY()+30</formula>
    </cfRule>
  </conditionalFormatting>
  <dataValidations count="3">
    <dataValidation sqref="B4:B200" showDropDown="0" showInputMessage="0" showErrorMessage="0" allowBlank="1" type="list">
      <formula1>=L_Typ</formula1>
    </dataValidation>
    <dataValidation sqref="G4:G200" showDropDown="0" showInputMessage="0" showErrorMessage="0" allowBlank="1" type="list">
      <formula1>=L_Kraft</formula1>
    </dataValidation>
    <dataValidation sqref="N4:N200" showDropDown="0" showInputMessage="0" showErrorMessage="0" allowBlank="1" type="list">
      <formula1>=L_Status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N3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4" customWidth="1" min="4" max="4"/>
    <col width="14" customWidth="1" min="5" max="5"/>
    <col width="13" customWidth="1" min="6" max="6"/>
    <col width="13" customWidth="1" min="7" max="7"/>
    <col width="13" customWidth="1" min="8" max="8"/>
    <col width="17" customWidth="1" min="9" max="9"/>
    <col width="11" customWidth="1" min="10" max="10"/>
    <col width="15" customWidth="1" min="11" max="11"/>
    <col width="11" customWidth="1" min="12" max="12"/>
    <col width="15" customWidth="1" min="13" max="13"/>
    <col width="16" customWidth="1" min="14" max="14"/>
  </cols>
  <sheetData>
    <row r="1" ht="36" customHeight="1">
      <c r="A1" s="33" t="inlineStr">
        <is>
          <t>WARTUNGSPLAN &amp; ERINNERUNGEN</t>
        </is>
      </c>
    </row>
    <row r="2" ht="18" customHeight="1">
      <c r="A2" s="2" t="inlineStr">
        <is>
          <t>Ampel berechnet sich automatisch aus Datum und km-Stand (Blatt „Fahrzeuge“).</t>
        </is>
      </c>
    </row>
    <row r="3" ht="26" customHeight="1">
      <c r="A3" s="34" t="inlineStr">
        <is>
          <t>Kennzeichen</t>
        </is>
      </c>
      <c r="B3" s="34" t="inlineStr">
        <is>
          <t>Fahrzeugtyp</t>
        </is>
      </c>
      <c r="C3" s="34" t="inlineStr">
        <is>
          <t>Wartungsart</t>
        </is>
      </c>
      <c r="D3" s="34" t="inlineStr">
        <is>
          <t>Letzte Wartung</t>
        </is>
      </c>
      <c r="E3" s="34" t="inlineStr">
        <is>
          <t>km bei Wartung</t>
        </is>
      </c>
      <c r="F3" s="34" t="inlineStr">
        <is>
          <t>Intervall (Mon.)</t>
        </is>
      </c>
      <c r="G3" s="34" t="inlineStr">
        <is>
          <t>Intervall (km)</t>
        </is>
      </c>
      <c r="H3" s="34" t="inlineStr">
        <is>
          <t>akt. km-Stand</t>
        </is>
      </c>
      <c r="I3" s="34" t="inlineStr">
        <is>
          <t>Nächste Wartung (Datum)</t>
        </is>
      </c>
      <c r="J3" s="34" t="inlineStr">
        <is>
          <t>Rest-Tage</t>
        </is>
      </c>
      <c r="K3" s="34" t="inlineStr">
        <is>
          <t>Nächste km-Grenze</t>
        </is>
      </c>
      <c r="L3" s="34" t="inlineStr">
        <is>
          <t>Rest-km</t>
        </is>
      </c>
      <c r="M3" s="34" t="inlineStr">
        <is>
          <t>STATUS</t>
        </is>
      </c>
      <c r="N3" s="34" t="inlineStr">
        <is>
          <t>Verantwortlich</t>
        </is>
      </c>
    </row>
    <row r="4">
      <c r="A4" s="31" t="inlineStr">
        <is>
          <t>B-AH 1001</t>
        </is>
      </c>
      <c r="B4" s="31" t="inlineStr">
        <is>
          <t>PKW</t>
        </is>
      </c>
      <c r="C4" s="31" t="inlineStr">
        <is>
          <t>Inspektion</t>
        </is>
      </c>
      <c r="D4" s="32" t="n">
        <v>45920</v>
      </c>
      <c r="E4" s="36" t="n">
        <v>52000</v>
      </c>
      <c r="F4" s="31" t="n">
        <v>12</v>
      </c>
      <c r="G4" s="31" t="n">
        <v>30000</v>
      </c>
      <c r="H4" s="45">
        <f>IFERROR(VLOOKUP(A4,F_Tabelle,10,FALSE),"")</f>
        <v/>
      </c>
      <c r="I4" s="46">
        <f>IF(F4=0,"",EDATE(D4,F4))</f>
        <v/>
      </c>
      <c r="J4" s="47">
        <f>IF(I4="","",I4-TODAY())</f>
        <v/>
      </c>
      <c r="K4" s="45">
        <f>IF(G4=0,"",E4+G4)</f>
        <v/>
      </c>
      <c r="L4" s="45">
        <f>IF(OR(K4="",H4=""),"",K4-H4)</f>
        <v/>
      </c>
      <c r="M4" s="47">
        <f>IF(AND(J4="",L4=""),"",IF(OR(AND(J4&lt;&gt;"",J4&lt;0),AND(L4&lt;&gt;"",L4&lt;0)),"🔴 Überfällig",IF(OR(AND(J4&lt;&gt;"",J4&lt;=30),AND(L4&lt;&gt;"",L4&lt;=1000)),"🟡 Bald fällig","🟢 OK")))</f>
        <v/>
      </c>
      <c r="N4" s="35" t="inlineStr">
        <is>
          <t>Werkstatt Müller</t>
        </is>
      </c>
    </row>
    <row r="5">
      <c r="A5" s="29" t="inlineStr">
        <is>
          <t>B-AH 1001</t>
        </is>
      </c>
      <c r="B5" s="29" t="inlineStr">
        <is>
          <t>PKW</t>
        </is>
      </c>
      <c r="C5" s="29" t="inlineStr">
        <is>
          <t>HU/AU (TÜV)</t>
        </is>
      </c>
      <c r="D5" s="30" t="n">
        <v>45555</v>
      </c>
      <c r="E5" s="38" t="n">
        <v>48000</v>
      </c>
      <c r="F5" s="29" t="n">
        <v>24</v>
      </c>
      <c r="G5" s="29" t="n">
        <v>0</v>
      </c>
      <c r="H5" s="45">
        <f>IFERROR(VLOOKUP(A5,F_Tabelle,10,FALSE),"")</f>
        <v/>
      </c>
      <c r="I5" s="46">
        <f>IF(F5=0,"",EDATE(D5,F5))</f>
        <v/>
      </c>
      <c r="J5" s="47">
        <f>IF(I5="","",I5-TODAY())</f>
        <v/>
      </c>
      <c r="K5" s="45">
        <f>IF(G5=0,"",E5+G5)</f>
        <v/>
      </c>
      <c r="L5" s="45">
        <f>IF(OR(K5="",H5=""),"",K5-H5)</f>
        <v/>
      </c>
      <c r="M5" s="47">
        <f>IF(AND(J5="",L5=""),"",IF(OR(AND(J5&lt;&gt;"",J5&lt;0),AND(L5&lt;&gt;"",L5&lt;0)),"🔴 Überfällig",IF(OR(AND(J5&lt;&gt;"",J5&lt;=30),AND(L5&lt;&gt;"",L5&lt;=1000)),"🟡 Bald fällig","🟢 OK")))</f>
        <v/>
      </c>
      <c r="N5" s="37" t="inlineStr">
        <is>
          <t>GTÜ</t>
        </is>
      </c>
    </row>
    <row r="6">
      <c r="A6" s="31" t="inlineStr">
        <is>
          <t>B-AH 1002</t>
        </is>
      </c>
      <c r="B6" s="31" t="inlineStr">
        <is>
          <t>PKW</t>
        </is>
      </c>
      <c r="C6" s="31" t="inlineStr">
        <is>
          <t>Ölwechsel</t>
        </is>
      </c>
      <c r="D6" s="32" t="n">
        <v>45992</v>
      </c>
      <c r="E6" s="36" t="n">
        <v>48000</v>
      </c>
      <c r="F6" s="31" t="n">
        <v>12</v>
      </c>
      <c r="G6" s="31" t="n">
        <v>15000</v>
      </c>
      <c r="H6" s="45">
        <f>IFERROR(VLOOKUP(A6,F_Tabelle,10,FALSE),"")</f>
        <v/>
      </c>
      <c r="I6" s="46">
        <f>IF(F6=0,"",EDATE(D6,F6))</f>
        <v/>
      </c>
      <c r="J6" s="47">
        <f>IF(I6="","",I6-TODAY())</f>
        <v/>
      </c>
      <c r="K6" s="45">
        <f>IF(G6=0,"",E6+G6)</f>
        <v/>
      </c>
      <c r="L6" s="45">
        <f>IF(OR(K6="",H6=""),"",K6-H6)</f>
        <v/>
      </c>
      <c r="M6" s="47">
        <f>IF(AND(J6="",L6=""),"",IF(OR(AND(J6&lt;&gt;"",J6&lt;0),AND(L6&lt;&gt;"",L6&lt;0)),"🔴 Überfällig",IF(OR(AND(J6&lt;&gt;"",J6&lt;=30),AND(L6&lt;&gt;"",L6&lt;=1000)),"🟡 Bald fällig","🟢 OK")))</f>
        <v/>
      </c>
      <c r="N6" s="35" t="inlineStr">
        <is>
          <t>Werkstatt Müller</t>
        </is>
      </c>
    </row>
    <row r="7">
      <c r="A7" s="29" t="inlineStr">
        <is>
          <t>B-AH 2050</t>
        </is>
      </c>
      <c r="B7" s="29" t="inlineStr">
        <is>
          <t>Transporter</t>
        </is>
      </c>
      <c r="C7" s="29" t="inlineStr">
        <is>
          <t>Inspektion</t>
        </is>
      </c>
      <c r="D7" s="30" t="n">
        <v>45971</v>
      </c>
      <c r="E7" s="38" t="n">
        <v>130000</v>
      </c>
      <c r="F7" s="29" t="n">
        <v>12</v>
      </c>
      <c r="G7" s="29" t="n">
        <v>40000</v>
      </c>
      <c r="H7" s="45">
        <f>IFERROR(VLOOKUP(A7,F_Tabelle,10,FALSE),"")</f>
        <v/>
      </c>
      <c r="I7" s="46">
        <f>IF(F7=0,"",EDATE(D7,F7))</f>
        <v/>
      </c>
      <c r="J7" s="47">
        <f>IF(I7="","",I7-TODAY())</f>
        <v/>
      </c>
      <c r="K7" s="45">
        <f>IF(G7=0,"",E7+G7)</f>
        <v/>
      </c>
      <c r="L7" s="45">
        <f>IF(OR(K7="",H7=""),"",K7-H7)</f>
        <v/>
      </c>
      <c r="M7" s="47">
        <f>IF(AND(J7="",L7=""),"",IF(OR(AND(J7&lt;&gt;"",J7&lt;0),AND(L7&lt;&gt;"",L7&lt;0)),"🔴 Überfällig",IF(OR(AND(J7&lt;&gt;"",J7&lt;=30),AND(L7&lt;&gt;"",L7&lt;=1000)),"🟡 Bald fällig","🟢 OK")))</f>
        <v/>
      </c>
      <c r="N7" s="37" t="inlineStr">
        <is>
          <t>MB-Service</t>
        </is>
      </c>
    </row>
    <row r="8">
      <c r="A8" s="31" t="inlineStr">
        <is>
          <t>B-AH 2050</t>
        </is>
      </c>
      <c r="B8" s="31" t="inlineStr">
        <is>
          <t>Transporter</t>
        </is>
      </c>
      <c r="C8" s="31" t="inlineStr">
        <is>
          <t>HU/AU (TÜV)</t>
        </is>
      </c>
      <c r="D8" s="32" t="n">
        <v>45853</v>
      </c>
      <c r="E8" s="36" t="n">
        <v>120000</v>
      </c>
      <c r="F8" s="31" t="n">
        <v>12</v>
      </c>
      <c r="G8" s="31" t="n">
        <v>0</v>
      </c>
      <c r="H8" s="45">
        <f>IFERROR(VLOOKUP(A8,F_Tabelle,10,FALSE),"")</f>
        <v/>
      </c>
      <c r="I8" s="46">
        <f>IF(F8=0,"",EDATE(D8,F8))</f>
        <v/>
      </c>
      <c r="J8" s="47">
        <f>IF(I8="","",I8-TODAY())</f>
        <v/>
      </c>
      <c r="K8" s="45">
        <f>IF(G8=0,"",E8+G8)</f>
        <v/>
      </c>
      <c r="L8" s="45">
        <f>IF(OR(K8="",H8=""),"",K8-H8)</f>
        <v/>
      </c>
      <c r="M8" s="47">
        <f>IF(AND(J8="",L8=""),"",IF(OR(AND(J8&lt;&gt;"",J8&lt;0),AND(L8&lt;&gt;"",L8&lt;0)),"🔴 Überfällig",IF(OR(AND(J8&lt;&gt;"",J8&lt;=30),AND(L8&lt;&gt;"",L8&lt;=1000)),"🟡 Bald fällig","🟢 OK")))</f>
        <v/>
      </c>
      <c r="N8" s="35" t="inlineStr">
        <is>
          <t>DEKRA</t>
        </is>
      </c>
    </row>
    <row r="9">
      <c r="A9" s="29" t="inlineStr">
        <is>
          <t>B-AH 2051</t>
        </is>
      </c>
      <c r="B9" s="29" t="inlineStr">
        <is>
          <t>Transporter</t>
        </is>
      </c>
      <c r="C9" s="29" t="inlineStr">
        <is>
          <t>Bremsen</t>
        </is>
      </c>
      <c r="D9" s="30" t="n">
        <v>45870</v>
      </c>
      <c r="E9" s="38" t="n">
        <v>28000</v>
      </c>
      <c r="F9" s="29" t="n">
        <v>12</v>
      </c>
      <c r="G9" s="29" t="n">
        <v>50000</v>
      </c>
      <c r="H9" s="45">
        <f>IFERROR(VLOOKUP(A9,F_Tabelle,10,FALSE),"")</f>
        <v/>
      </c>
      <c r="I9" s="46">
        <f>IF(F9=0,"",EDATE(D9,F9))</f>
        <v/>
      </c>
      <c r="J9" s="47">
        <f>IF(I9="","",I9-TODAY())</f>
        <v/>
      </c>
      <c r="K9" s="45">
        <f>IF(G9=0,"",E9+G9)</f>
        <v/>
      </c>
      <c r="L9" s="45">
        <f>IF(OR(K9="",H9=""),"",K9-H9)</f>
        <v/>
      </c>
      <c r="M9" s="47">
        <f>IF(AND(J9="",L9=""),"",IF(OR(AND(J9&lt;&gt;"",J9&lt;0),AND(L9&lt;&gt;"",L9&lt;0)),"🔴 Überfällig",IF(OR(AND(J9&lt;&gt;"",J9&lt;=30),AND(L9&lt;&gt;"",L9&lt;=1000)),"🟡 Bald fällig","🟢 OK")))</f>
        <v/>
      </c>
      <c r="N9" s="37" t="inlineStr">
        <is>
          <t>Ford-Service</t>
        </is>
      </c>
    </row>
    <row r="10">
      <c r="A10" s="31" t="inlineStr">
        <is>
          <t>B-AH 7800</t>
        </is>
      </c>
      <c r="B10" s="31" t="inlineStr">
        <is>
          <t>LKW</t>
        </is>
      </c>
      <c r="C10" s="31" t="inlineStr">
        <is>
          <t>SP (Sicherheitsprüfung)</t>
        </is>
      </c>
      <c r="D10" s="32" t="n">
        <v>46021</v>
      </c>
      <c r="E10" s="36" t="n">
        <v>500000</v>
      </c>
      <c r="F10" s="31" t="n">
        <v>6</v>
      </c>
      <c r="G10" s="31" t="n">
        <v>0</v>
      </c>
      <c r="H10" s="45">
        <f>IFERROR(VLOOKUP(A10,F_Tabelle,10,FALSE),"")</f>
        <v/>
      </c>
      <c r="I10" s="46">
        <f>IF(F10=0,"",EDATE(D10,F10))</f>
        <v/>
      </c>
      <c r="J10" s="47">
        <f>IF(I10="","",I10-TODAY())</f>
        <v/>
      </c>
      <c r="K10" s="45">
        <f>IF(G10=0,"",E10+G10)</f>
        <v/>
      </c>
      <c r="L10" s="45">
        <f>IF(OR(K10="",H10=""),"",K10-H10)</f>
        <v/>
      </c>
      <c r="M10" s="47">
        <f>IF(AND(J10="",L10=""),"",IF(OR(AND(J10&lt;&gt;"",J10&lt;0),AND(L10&lt;&gt;"",L10&lt;0)),"🔴 Überfällig",IF(OR(AND(J10&lt;&gt;"",J10&lt;=30),AND(L10&lt;&gt;"",L10&lt;=1000)),"🟡 Bald fällig","🟢 OK")))</f>
        <v/>
      </c>
      <c r="N10" s="35" t="inlineStr">
        <is>
          <t>DEKRA</t>
        </is>
      </c>
    </row>
    <row r="11">
      <c r="A11" s="29" t="inlineStr">
        <is>
          <t>B-AH 7800</t>
        </is>
      </c>
      <c r="B11" s="29" t="inlineStr">
        <is>
          <t>LKW</t>
        </is>
      </c>
      <c r="C11" s="29" t="inlineStr">
        <is>
          <t>Inspektion</t>
        </is>
      </c>
      <c r="D11" s="30" t="n">
        <v>46037</v>
      </c>
      <c r="E11" s="38" t="n">
        <v>505000</v>
      </c>
      <c r="F11" s="29" t="n">
        <v>6</v>
      </c>
      <c r="G11" s="29" t="n">
        <v>60000</v>
      </c>
      <c r="H11" s="45">
        <f>IFERROR(VLOOKUP(A11,F_Tabelle,10,FALSE),"")</f>
        <v/>
      </c>
      <c r="I11" s="46">
        <f>IF(F11=0,"",EDATE(D11,F11))</f>
        <v/>
      </c>
      <c r="J11" s="47">
        <f>IF(I11="","",I11-TODAY())</f>
        <v/>
      </c>
      <c r="K11" s="45">
        <f>IF(G11=0,"",E11+G11)</f>
        <v/>
      </c>
      <c r="L11" s="45">
        <f>IF(OR(K11="",H11=""),"",K11-H11)</f>
        <v/>
      </c>
      <c r="M11" s="47">
        <f>IF(AND(J11="",L11=""),"",IF(OR(AND(J11&lt;&gt;"",J11&lt;0),AND(L11&lt;&gt;"",L11&lt;0)),"🔴 Überfällig",IF(OR(AND(J11&lt;&gt;"",J11&lt;=30),AND(L11&lt;&gt;"",L11&lt;=1000)),"🟡 Bald fällig","🟢 OK")))</f>
        <v/>
      </c>
      <c r="N11" s="37" t="inlineStr">
        <is>
          <t>MAN-Service</t>
        </is>
      </c>
    </row>
    <row r="12">
      <c r="A12" s="31" t="inlineStr">
        <is>
          <t>B-AH 7801</t>
        </is>
      </c>
      <c r="B12" s="31" t="inlineStr">
        <is>
          <t>LKW</t>
        </is>
      </c>
      <c r="C12" s="31" t="inlineStr">
        <is>
          <t>HU/AU (TÜV)</t>
        </is>
      </c>
      <c r="D12" s="32" t="n">
        <v>45981</v>
      </c>
      <c r="E12" s="36" t="n">
        <v>295000</v>
      </c>
      <c r="F12" s="31" t="n">
        <v>12</v>
      </c>
      <c r="G12" s="31" t="n">
        <v>0</v>
      </c>
      <c r="H12" s="45">
        <f>IFERROR(VLOOKUP(A12,F_Tabelle,10,FALSE),"")</f>
        <v/>
      </c>
      <c r="I12" s="46">
        <f>IF(F12=0,"",EDATE(D12,F12))</f>
        <v/>
      </c>
      <c r="J12" s="47">
        <f>IF(I12="","",I12-TODAY())</f>
        <v/>
      </c>
      <c r="K12" s="45">
        <f>IF(G12=0,"",E12+G12)</f>
        <v/>
      </c>
      <c r="L12" s="45">
        <f>IF(OR(K12="",H12=""),"",K12-H12)</f>
        <v/>
      </c>
      <c r="M12" s="47">
        <f>IF(AND(J12="",L12=""),"",IF(OR(AND(J12&lt;&gt;"",J12&lt;0),AND(L12&lt;&gt;"",L12&lt;0)),"🔴 Überfällig",IF(OR(AND(J12&lt;&gt;"",J12&lt;=30),AND(L12&lt;&gt;"",L12&lt;=1000)),"🟡 Bald fällig","🟢 OK")))</f>
        <v/>
      </c>
      <c r="N12" s="35" t="inlineStr">
        <is>
          <t>DEKRA</t>
        </is>
      </c>
    </row>
    <row r="13">
      <c r="A13" s="29" t="inlineStr">
        <is>
          <t>B-AH 7801</t>
        </is>
      </c>
      <c r="B13" s="29" t="inlineStr">
        <is>
          <t>LKW</t>
        </is>
      </c>
      <c r="C13" s="29" t="inlineStr">
        <is>
          <t>Tachograph</t>
        </is>
      </c>
      <c r="D13" s="30" t="n">
        <v>45616</v>
      </c>
      <c r="E13" s="38" t="n">
        <v>280000</v>
      </c>
      <c r="F13" s="29" t="n">
        <v>24</v>
      </c>
      <c r="G13" s="29" t="n">
        <v>0</v>
      </c>
      <c r="H13" s="45">
        <f>IFERROR(VLOOKUP(A13,F_Tabelle,10,FALSE),"")</f>
        <v/>
      </c>
      <c r="I13" s="46">
        <f>IF(F13=0,"",EDATE(D13,F13))</f>
        <v/>
      </c>
      <c r="J13" s="47">
        <f>IF(I13="","",I13-TODAY())</f>
        <v/>
      </c>
      <c r="K13" s="45">
        <f>IF(G13=0,"",E13+G13)</f>
        <v/>
      </c>
      <c r="L13" s="45">
        <f>IF(OR(K13="",H13=""),"",K13-H13)</f>
        <v/>
      </c>
      <c r="M13" s="47">
        <f>IF(AND(J13="",L13=""),"",IF(OR(AND(J13&lt;&gt;"",J13&lt;0),AND(L13&lt;&gt;"",L13&lt;0)),"🔴 Überfällig",IF(OR(AND(J13&lt;&gt;"",J13&lt;=30),AND(L13&lt;&gt;"",L13&lt;=1000)),"🟡 Bald fällig","🟢 OK")))</f>
        <v/>
      </c>
      <c r="N13" s="37" t="inlineStr">
        <is>
          <t>Fachbetrieb</t>
        </is>
      </c>
    </row>
    <row r="14">
      <c r="A14" s="31" t="n"/>
      <c r="B14" s="31" t="n"/>
      <c r="C14" s="31" t="n"/>
      <c r="D14" s="31" t="n"/>
      <c r="E14" s="31" t="n"/>
      <c r="F14" s="31" t="n"/>
      <c r="G14" s="31" t="n"/>
      <c r="H14" s="45">
        <f>IFERROR(VLOOKUP(A14,F_Tabelle,10,FALSE),"")</f>
        <v/>
      </c>
      <c r="I14" s="46">
        <f>IF(OR(D14="",F14=""),"",IF(F14=0,"",EDATE(D14,F14)))</f>
        <v/>
      </c>
      <c r="J14" s="47">
        <f>IF(I14="","",I14-TODAY())</f>
        <v/>
      </c>
      <c r="K14" s="45">
        <f>IF(OR(E14="",G14=""),"",IF(G14=0,"",E14+G14))</f>
        <v/>
      </c>
      <c r="L14" s="45">
        <f>IF(OR(K14="",H14=""),"",K14-H14)</f>
        <v/>
      </c>
      <c r="M14" s="47">
        <f>IF(AND(J14="",L14=""),"",IF(OR(AND(J14&lt;&gt;"",J14&lt;0),AND(L14&lt;&gt;"",L14&lt;0)),"🔴 Überfällig",IF(OR(AND(J14&lt;&gt;"",J14&lt;=30),AND(L14&lt;&gt;"",L14&lt;=1000)),"🟡 Bald fällig","🟢 OK")))</f>
        <v/>
      </c>
      <c r="N14" s="35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45">
        <f>IFERROR(VLOOKUP(A15,F_Tabelle,10,FALSE),"")</f>
        <v/>
      </c>
      <c r="I15" s="46">
        <f>IF(OR(D15="",F15=""),"",IF(F15=0,"",EDATE(D15,F15)))</f>
        <v/>
      </c>
      <c r="J15" s="47">
        <f>IF(I15="","",I15-TODAY())</f>
        <v/>
      </c>
      <c r="K15" s="45">
        <f>IF(OR(E15="",G15=""),"",IF(G15=0,"",E15+G15))</f>
        <v/>
      </c>
      <c r="L15" s="45">
        <f>IF(OR(K15="",H15=""),"",K15-H15)</f>
        <v/>
      </c>
      <c r="M15" s="47">
        <f>IF(AND(J15="",L15=""),"",IF(OR(AND(J15&lt;&gt;"",J15&lt;0),AND(L15&lt;&gt;"",L15&lt;0)),"🔴 Überfällig",IF(OR(AND(J15&lt;&gt;"",J15&lt;=30),AND(L15&lt;&gt;"",L15&lt;=1000)),"🟡 Bald fällig","🟢 OK")))</f>
        <v/>
      </c>
      <c r="N15" s="37" t="n"/>
    </row>
    <row r="16">
      <c r="A16" s="31" t="n"/>
      <c r="B16" s="31" t="n"/>
      <c r="C16" s="31" t="n"/>
      <c r="D16" s="31" t="n"/>
      <c r="E16" s="31" t="n"/>
      <c r="F16" s="31" t="n"/>
      <c r="G16" s="31" t="n"/>
      <c r="H16" s="45">
        <f>IFERROR(VLOOKUP(A16,F_Tabelle,10,FALSE),"")</f>
        <v/>
      </c>
      <c r="I16" s="46">
        <f>IF(OR(D16="",F16=""),"",IF(F16=0,"",EDATE(D16,F16)))</f>
        <v/>
      </c>
      <c r="J16" s="47">
        <f>IF(I16="","",I16-TODAY())</f>
        <v/>
      </c>
      <c r="K16" s="45">
        <f>IF(OR(E16="",G16=""),"",IF(G16=0,"",E16+G16))</f>
        <v/>
      </c>
      <c r="L16" s="45">
        <f>IF(OR(K16="",H16=""),"",K16-H16)</f>
        <v/>
      </c>
      <c r="M16" s="47">
        <f>IF(AND(J16="",L16=""),"",IF(OR(AND(J16&lt;&gt;"",J16&lt;0),AND(L16&lt;&gt;"",L16&lt;0)),"🔴 Überfällig",IF(OR(AND(J16&lt;&gt;"",J16&lt;=30),AND(L16&lt;&gt;"",L16&lt;=1000)),"🟡 Bald fällig","🟢 OK")))</f>
        <v/>
      </c>
      <c r="N16" s="35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45">
        <f>IFERROR(VLOOKUP(A17,F_Tabelle,10,FALSE),"")</f>
        <v/>
      </c>
      <c r="I17" s="46">
        <f>IF(OR(D17="",F17=""),"",IF(F17=0,"",EDATE(D17,F17)))</f>
        <v/>
      </c>
      <c r="J17" s="47">
        <f>IF(I17="","",I17-TODAY())</f>
        <v/>
      </c>
      <c r="K17" s="45">
        <f>IF(OR(E17="",G17=""),"",IF(G17=0,"",E17+G17))</f>
        <v/>
      </c>
      <c r="L17" s="45">
        <f>IF(OR(K17="",H17=""),"",K17-H17)</f>
        <v/>
      </c>
      <c r="M17" s="47">
        <f>IF(AND(J17="",L17=""),"",IF(OR(AND(J17&lt;&gt;"",J17&lt;0),AND(L17&lt;&gt;"",L17&lt;0)),"🔴 Überfällig",IF(OR(AND(J17&lt;&gt;"",J17&lt;=30),AND(L17&lt;&gt;"",L17&lt;=1000)),"🟡 Bald fällig","🟢 OK")))</f>
        <v/>
      </c>
      <c r="N17" s="37" t="n"/>
    </row>
    <row r="18">
      <c r="A18" s="31" t="n"/>
      <c r="B18" s="31" t="n"/>
      <c r="C18" s="31" t="n"/>
      <c r="D18" s="31" t="n"/>
      <c r="E18" s="31" t="n"/>
      <c r="F18" s="31" t="n"/>
      <c r="G18" s="31" t="n"/>
      <c r="H18" s="45">
        <f>IFERROR(VLOOKUP(A18,F_Tabelle,10,FALSE),"")</f>
        <v/>
      </c>
      <c r="I18" s="46">
        <f>IF(OR(D18="",F18=""),"",IF(F18=0,"",EDATE(D18,F18)))</f>
        <v/>
      </c>
      <c r="J18" s="47">
        <f>IF(I18="","",I18-TODAY())</f>
        <v/>
      </c>
      <c r="K18" s="45">
        <f>IF(OR(E18="",G18=""),"",IF(G18=0,"",E18+G18))</f>
        <v/>
      </c>
      <c r="L18" s="45">
        <f>IF(OR(K18="",H18=""),"",K18-H18)</f>
        <v/>
      </c>
      <c r="M18" s="47">
        <f>IF(AND(J18="",L18=""),"",IF(OR(AND(J18&lt;&gt;"",J18&lt;0),AND(L18&lt;&gt;"",L18&lt;0)),"🔴 Überfällig",IF(OR(AND(J18&lt;&gt;"",J18&lt;=30),AND(L18&lt;&gt;"",L18&lt;=1000)),"🟡 Bald fällig","🟢 OK")))</f>
        <v/>
      </c>
      <c r="N18" s="35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45">
        <f>IFERROR(VLOOKUP(A19,F_Tabelle,10,FALSE),"")</f>
        <v/>
      </c>
      <c r="I19" s="46">
        <f>IF(OR(D19="",F19=""),"",IF(F19=0,"",EDATE(D19,F19)))</f>
        <v/>
      </c>
      <c r="J19" s="47">
        <f>IF(I19="","",I19-TODAY())</f>
        <v/>
      </c>
      <c r="K19" s="45">
        <f>IF(OR(E19="",G19=""),"",IF(G19=0,"",E19+G19))</f>
        <v/>
      </c>
      <c r="L19" s="45">
        <f>IF(OR(K19="",H19=""),"",K19-H19)</f>
        <v/>
      </c>
      <c r="M19" s="47">
        <f>IF(AND(J19="",L19=""),"",IF(OR(AND(J19&lt;&gt;"",J19&lt;0),AND(L19&lt;&gt;"",L19&lt;0)),"🔴 Überfällig",IF(OR(AND(J19&lt;&gt;"",J19&lt;=30),AND(L19&lt;&gt;"",L19&lt;=1000)),"🟡 Bald fällig","🟢 OK")))</f>
        <v/>
      </c>
      <c r="N19" s="3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45">
        <f>IFERROR(VLOOKUP(A20,F_Tabelle,10,FALSE),"")</f>
        <v/>
      </c>
      <c r="I20" s="46">
        <f>IF(OR(D20="",F20=""),"",IF(F20=0,"",EDATE(D20,F20)))</f>
        <v/>
      </c>
      <c r="J20" s="47">
        <f>IF(I20="","",I20-TODAY())</f>
        <v/>
      </c>
      <c r="K20" s="45">
        <f>IF(OR(E20="",G20=""),"",IF(G20=0,"",E20+G20))</f>
        <v/>
      </c>
      <c r="L20" s="45">
        <f>IF(OR(K20="",H20=""),"",K20-H20)</f>
        <v/>
      </c>
      <c r="M20" s="47">
        <f>IF(AND(J20="",L20=""),"",IF(OR(AND(J20&lt;&gt;"",J20&lt;0),AND(L20&lt;&gt;"",L20&lt;0)),"🔴 Überfällig",IF(OR(AND(J20&lt;&gt;"",J20&lt;=30),AND(L20&lt;&gt;"",L20&lt;=1000)),"🟡 Bald fällig","🟢 OK")))</f>
        <v/>
      </c>
      <c r="N20" s="35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45">
        <f>IFERROR(VLOOKUP(A21,F_Tabelle,10,FALSE),"")</f>
        <v/>
      </c>
      <c r="I21" s="46">
        <f>IF(OR(D21="",F21=""),"",IF(F21=0,"",EDATE(D21,F21)))</f>
        <v/>
      </c>
      <c r="J21" s="47">
        <f>IF(I21="","",I21-TODAY())</f>
        <v/>
      </c>
      <c r="K21" s="45">
        <f>IF(OR(E21="",G21=""),"",IF(G21=0,"",E21+G21))</f>
        <v/>
      </c>
      <c r="L21" s="45">
        <f>IF(OR(K21="",H21=""),"",K21-H21)</f>
        <v/>
      </c>
      <c r="M21" s="47">
        <f>IF(AND(J21="",L21=""),"",IF(OR(AND(J21&lt;&gt;"",J21&lt;0),AND(L21&lt;&gt;"",L21&lt;0)),"🔴 Überfällig",IF(OR(AND(J21&lt;&gt;"",J21&lt;=30),AND(L21&lt;&gt;"",L21&lt;=1000)),"🟡 Bald fällig","🟢 OK")))</f>
        <v/>
      </c>
      <c r="N21" s="37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45">
        <f>IFERROR(VLOOKUP(A22,F_Tabelle,10,FALSE),"")</f>
        <v/>
      </c>
      <c r="I22" s="46">
        <f>IF(OR(D22="",F22=""),"",IF(F22=0,"",EDATE(D22,F22)))</f>
        <v/>
      </c>
      <c r="J22" s="47">
        <f>IF(I22="","",I22-TODAY())</f>
        <v/>
      </c>
      <c r="K22" s="45">
        <f>IF(OR(E22="",G22=""),"",IF(G22=0,"",E22+G22))</f>
        <v/>
      </c>
      <c r="L22" s="45">
        <f>IF(OR(K22="",H22=""),"",K22-H22)</f>
        <v/>
      </c>
      <c r="M22" s="47">
        <f>IF(AND(J22="",L22=""),"",IF(OR(AND(J22&lt;&gt;"",J22&lt;0),AND(L22&lt;&gt;"",L22&lt;0)),"🔴 Überfällig",IF(OR(AND(J22&lt;&gt;"",J22&lt;=30),AND(L22&lt;&gt;"",L22&lt;=1000)),"🟡 Bald fällig","🟢 OK")))</f>
        <v/>
      </c>
      <c r="N22" s="35" t="n"/>
    </row>
    <row r="23">
      <c r="A23" s="29" t="n"/>
      <c r="B23" s="29" t="n"/>
      <c r="C23" s="29" t="n"/>
      <c r="D23" s="29" t="n"/>
      <c r="E23" s="29" t="n"/>
      <c r="F23" s="29" t="n"/>
      <c r="G23" s="29" t="n"/>
      <c r="H23" s="45">
        <f>IFERROR(VLOOKUP(A23,F_Tabelle,10,FALSE),"")</f>
        <v/>
      </c>
      <c r="I23" s="46">
        <f>IF(OR(D23="",F23=""),"",IF(F23=0,"",EDATE(D23,F23)))</f>
        <v/>
      </c>
      <c r="J23" s="47">
        <f>IF(I23="","",I23-TODAY())</f>
        <v/>
      </c>
      <c r="K23" s="45">
        <f>IF(OR(E23="",G23=""),"",IF(G23=0,"",E23+G23))</f>
        <v/>
      </c>
      <c r="L23" s="45">
        <f>IF(OR(K23="",H23=""),"",K23-H23)</f>
        <v/>
      </c>
      <c r="M23" s="47">
        <f>IF(AND(J23="",L23=""),"",IF(OR(AND(J23&lt;&gt;"",J23&lt;0),AND(L23&lt;&gt;"",L23&lt;0)),"🔴 Überfällig",IF(OR(AND(J23&lt;&gt;"",J23&lt;=30),AND(L23&lt;&gt;"",L23&lt;=1000)),"🟡 Bald fällig","🟢 OK")))</f>
        <v/>
      </c>
      <c r="N23" s="37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45">
        <f>IFERROR(VLOOKUP(A24,F_Tabelle,10,FALSE),"")</f>
        <v/>
      </c>
      <c r="I24" s="46">
        <f>IF(OR(D24="",F24=""),"",IF(F24=0,"",EDATE(D24,F24)))</f>
        <v/>
      </c>
      <c r="J24" s="47">
        <f>IF(I24="","",I24-TODAY())</f>
        <v/>
      </c>
      <c r="K24" s="45">
        <f>IF(OR(E24="",G24=""),"",IF(G24=0,"",E24+G24))</f>
        <v/>
      </c>
      <c r="L24" s="45">
        <f>IF(OR(K24="",H24=""),"",K24-H24)</f>
        <v/>
      </c>
      <c r="M24" s="47">
        <f>IF(AND(J24="",L24=""),"",IF(OR(AND(J24&lt;&gt;"",J24&lt;0),AND(L24&lt;&gt;"",L24&lt;0)),"🔴 Überfällig",IF(OR(AND(J24&lt;&gt;"",J24&lt;=30),AND(L24&lt;&gt;"",L24&lt;=1000)),"🟡 Bald fällig","🟢 OK")))</f>
        <v/>
      </c>
      <c r="N24" s="35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45">
        <f>IFERROR(VLOOKUP(A25,F_Tabelle,10,FALSE),"")</f>
        <v/>
      </c>
      <c r="I25" s="46">
        <f>IF(OR(D25="",F25=""),"",IF(F25=0,"",EDATE(D25,F25)))</f>
        <v/>
      </c>
      <c r="J25" s="47">
        <f>IF(I25="","",I25-TODAY())</f>
        <v/>
      </c>
      <c r="K25" s="45">
        <f>IF(OR(E25="",G25=""),"",IF(G25=0,"",E25+G25))</f>
        <v/>
      </c>
      <c r="L25" s="45">
        <f>IF(OR(K25="",H25=""),"",K25-H25)</f>
        <v/>
      </c>
      <c r="M25" s="47">
        <f>IF(AND(J25="",L25=""),"",IF(OR(AND(J25&lt;&gt;"",J25&lt;0),AND(L25&lt;&gt;"",L25&lt;0)),"🔴 Überfällig",IF(OR(AND(J25&lt;&gt;"",J25&lt;=30),AND(L25&lt;&gt;"",L25&lt;=1000)),"🟡 Bald fällig","🟢 OK")))</f>
        <v/>
      </c>
      <c r="N25" s="37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45">
        <f>IFERROR(VLOOKUP(A26,F_Tabelle,10,FALSE),"")</f>
        <v/>
      </c>
      <c r="I26" s="46">
        <f>IF(OR(D26="",F26=""),"",IF(F26=0,"",EDATE(D26,F26)))</f>
        <v/>
      </c>
      <c r="J26" s="47">
        <f>IF(I26="","",I26-TODAY())</f>
        <v/>
      </c>
      <c r="K26" s="45">
        <f>IF(OR(E26="",G26=""),"",IF(G26=0,"",E26+G26))</f>
        <v/>
      </c>
      <c r="L26" s="45">
        <f>IF(OR(K26="",H26=""),"",K26-H26)</f>
        <v/>
      </c>
      <c r="M26" s="47">
        <f>IF(AND(J26="",L26=""),"",IF(OR(AND(J26&lt;&gt;"",J26&lt;0),AND(L26&lt;&gt;"",L26&lt;0)),"🔴 Überfällig",IF(OR(AND(J26&lt;&gt;"",J26&lt;=30),AND(L26&lt;&gt;"",L26&lt;=1000)),"🟡 Bald fällig","🟢 OK")))</f>
        <v/>
      </c>
      <c r="N26" s="35" t="n"/>
    </row>
    <row r="27">
      <c r="A27" s="29" t="n"/>
      <c r="B27" s="29" t="n"/>
      <c r="C27" s="29" t="n"/>
      <c r="D27" s="29" t="n"/>
      <c r="E27" s="29" t="n"/>
      <c r="F27" s="29" t="n"/>
      <c r="G27" s="29" t="n"/>
      <c r="H27" s="45">
        <f>IFERROR(VLOOKUP(A27,F_Tabelle,10,FALSE),"")</f>
        <v/>
      </c>
      <c r="I27" s="46">
        <f>IF(OR(D27="",F27=""),"",IF(F27=0,"",EDATE(D27,F27)))</f>
        <v/>
      </c>
      <c r="J27" s="47">
        <f>IF(I27="","",I27-TODAY())</f>
        <v/>
      </c>
      <c r="K27" s="45">
        <f>IF(OR(E27="",G27=""),"",IF(G27=0,"",E27+G27))</f>
        <v/>
      </c>
      <c r="L27" s="45">
        <f>IF(OR(K27="",H27=""),"",K27-H27)</f>
        <v/>
      </c>
      <c r="M27" s="47">
        <f>IF(AND(J27="",L27=""),"",IF(OR(AND(J27&lt;&gt;"",J27&lt;0),AND(L27&lt;&gt;"",L27&lt;0)),"🔴 Überfällig",IF(OR(AND(J27&lt;&gt;"",J27&lt;=30),AND(L27&lt;&gt;"",L27&lt;=1000)),"🟡 Bald fällig","🟢 OK")))</f>
        <v/>
      </c>
      <c r="N27" s="37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45">
        <f>IFERROR(VLOOKUP(A28,F_Tabelle,10,FALSE),"")</f>
        <v/>
      </c>
      <c r="I28" s="46">
        <f>IF(OR(D28="",F28=""),"",IF(F28=0,"",EDATE(D28,F28)))</f>
        <v/>
      </c>
      <c r="J28" s="47">
        <f>IF(I28="","",I28-TODAY())</f>
        <v/>
      </c>
      <c r="K28" s="45">
        <f>IF(OR(E28="",G28=""),"",IF(G28=0,"",E28+G28))</f>
        <v/>
      </c>
      <c r="L28" s="45">
        <f>IF(OR(K28="",H28=""),"",K28-H28)</f>
        <v/>
      </c>
      <c r="M28" s="47">
        <f>IF(AND(J28="",L28=""),"",IF(OR(AND(J28&lt;&gt;"",J28&lt;0),AND(L28&lt;&gt;"",L28&lt;0)),"🔴 Überfällig",IF(OR(AND(J28&lt;&gt;"",J28&lt;=30),AND(L28&lt;&gt;"",L28&lt;=1000)),"🟡 Bald fällig","🟢 OK")))</f>
        <v/>
      </c>
      <c r="N28" s="35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45">
        <f>IFERROR(VLOOKUP(A29,F_Tabelle,10,FALSE),"")</f>
        <v/>
      </c>
      <c r="I29" s="46">
        <f>IF(OR(D29="",F29=""),"",IF(F29=0,"",EDATE(D29,F29)))</f>
        <v/>
      </c>
      <c r="J29" s="47">
        <f>IF(I29="","",I29-TODAY())</f>
        <v/>
      </c>
      <c r="K29" s="45">
        <f>IF(OR(E29="",G29=""),"",IF(G29=0,"",E29+G29))</f>
        <v/>
      </c>
      <c r="L29" s="45">
        <f>IF(OR(K29="",H29=""),"",K29-H29)</f>
        <v/>
      </c>
      <c r="M29" s="47">
        <f>IF(AND(J29="",L29=""),"",IF(OR(AND(J29&lt;&gt;"",J29&lt;0),AND(L29&lt;&gt;"",L29&lt;0)),"🔴 Überfällig",IF(OR(AND(J29&lt;&gt;"",J29&lt;=30),AND(L29&lt;&gt;"",L29&lt;=1000)),"🟡 Bald fällig","🟢 OK")))</f>
        <v/>
      </c>
      <c r="N29" s="37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45">
        <f>IFERROR(VLOOKUP(A30,F_Tabelle,10,FALSE),"")</f>
        <v/>
      </c>
      <c r="I30" s="46">
        <f>IF(OR(D30="",F30=""),"",IF(F30=0,"",EDATE(D30,F30)))</f>
        <v/>
      </c>
      <c r="J30" s="47">
        <f>IF(I30="","",I30-TODAY())</f>
        <v/>
      </c>
      <c r="K30" s="45">
        <f>IF(OR(E30="",G30=""),"",IF(G30=0,"",E30+G30))</f>
        <v/>
      </c>
      <c r="L30" s="45">
        <f>IF(OR(K30="",H30=""),"",K30-H30)</f>
        <v/>
      </c>
      <c r="M30" s="47">
        <f>IF(AND(J30="",L30=""),"",IF(OR(AND(J30&lt;&gt;"",J30&lt;0),AND(L30&lt;&gt;"",L30&lt;0)),"🔴 Überfällig",IF(OR(AND(J30&lt;&gt;"",J30&lt;=30),AND(L30&lt;&gt;"",L30&lt;=1000)),"🟡 Bald fällig","🟢 OK")))</f>
        <v/>
      </c>
      <c r="N30" s="35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45">
        <f>IFERROR(VLOOKUP(A31,F_Tabelle,10,FALSE),"")</f>
        <v/>
      </c>
      <c r="I31" s="46">
        <f>IF(OR(D31="",F31=""),"",IF(F31=0,"",EDATE(D31,F31)))</f>
        <v/>
      </c>
      <c r="J31" s="47">
        <f>IF(I31="","",I31-TODAY())</f>
        <v/>
      </c>
      <c r="K31" s="45">
        <f>IF(OR(E31="",G31=""),"",IF(G31=0,"",E31+G31))</f>
        <v/>
      </c>
      <c r="L31" s="45">
        <f>IF(OR(K31="",H31=""),"",K31-H31)</f>
        <v/>
      </c>
      <c r="M31" s="47">
        <f>IF(AND(J31="",L31=""),"",IF(OR(AND(J31&lt;&gt;"",J31&lt;0),AND(L31&lt;&gt;"",L31&lt;0)),"🔴 Überfällig",IF(OR(AND(J31&lt;&gt;"",J31&lt;=30),AND(L31&lt;&gt;"",L31&lt;=1000)),"🟡 Bald fällig","🟢 OK")))</f>
        <v/>
      </c>
      <c r="N31" s="37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45">
        <f>IFERROR(VLOOKUP(A32,F_Tabelle,10,FALSE),"")</f>
        <v/>
      </c>
      <c r="I32" s="46">
        <f>IF(OR(D32="",F32=""),"",IF(F32=0,"",EDATE(D32,F32)))</f>
        <v/>
      </c>
      <c r="J32" s="47">
        <f>IF(I32="","",I32-TODAY())</f>
        <v/>
      </c>
      <c r="K32" s="45">
        <f>IF(OR(E32="",G32=""),"",IF(G32=0,"",E32+G32))</f>
        <v/>
      </c>
      <c r="L32" s="45">
        <f>IF(OR(K32="",H32=""),"",K32-H32)</f>
        <v/>
      </c>
      <c r="M32" s="47">
        <f>IF(AND(J32="",L32=""),"",IF(OR(AND(J32&lt;&gt;"",J32&lt;0),AND(L32&lt;&gt;"",L32&lt;0)),"🔴 Überfällig",IF(OR(AND(J32&lt;&gt;"",J32&lt;=30),AND(L32&lt;&gt;"",L32&lt;=1000)),"🟡 Bald fällig","🟢 OK")))</f>
        <v/>
      </c>
      <c r="N32" s="35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45">
        <f>IFERROR(VLOOKUP(A33,F_Tabelle,10,FALSE),"")</f>
        <v/>
      </c>
      <c r="I33" s="46">
        <f>IF(OR(D33="",F33=""),"",IF(F33=0,"",EDATE(D33,F33)))</f>
        <v/>
      </c>
      <c r="J33" s="47">
        <f>IF(I33="","",I33-TODAY())</f>
        <v/>
      </c>
      <c r="K33" s="45">
        <f>IF(OR(E33="",G33=""),"",IF(G33=0,"",E33+G33))</f>
        <v/>
      </c>
      <c r="L33" s="45">
        <f>IF(OR(K33="",H33=""),"",K33-H33)</f>
        <v/>
      </c>
      <c r="M33" s="47">
        <f>IF(AND(J33="",L33=""),"",IF(OR(AND(J33&lt;&gt;"",J33&lt;0),AND(L33&lt;&gt;"",L33&lt;0)),"🔴 Überfällig",IF(OR(AND(J33&lt;&gt;"",J33&lt;=30),AND(L33&lt;&gt;"",L33&lt;=1000)),"🟡 Bald fällig","🟢 OK")))</f>
        <v/>
      </c>
      <c r="N33" s="37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45">
        <f>IFERROR(VLOOKUP(A34,F_Tabelle,10,FALSE),"")</f>
        <v/>
      </c>
      <c r="I34" s="46">
        <f>IF(OR(D34="",F34=""),"",IF(F34=0,"",EDATE(D34,F34)))</f>
        <v/>
      </c>
      <c r="J34" s="47">
        <f>IF(I34="","",I34-TODAY())</f>
        <v/>
      </c>
      <c r="K34" s="45">
        <f>IF(OR(E34="",G34=""),"",IF(G34=0,"",E34+G34))</f>
        <v/>
      </c>
      <c r="L34" s="45">
        <f>IF(OR(K34="",H34=""),"",K34-H34)</f>
        <v/>
      </c>
      <c r="M34" s="47">
        <f>IF(AND(J34="",L34=""),"",IF(OR(AND(J34&lt;&gt;"",J34&lt;0),AND(L34&lt;&gt;"",L34&lt;0)),"🔴 Überfällig",IF(OR(AND(J34&lt;&gt;"",J34&lt;=30),AND(L34&lt;&gt;"",L34&lt;=1000)),"🟡 Bald fällig","🟢 OK")))</f>
        <v/>
      </c>
      <c r="N34" s="35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45">
        <f>IFERROR(VLOOKUP(A35,F_Tabelle,10,FALSE),"")</f>
        <v/>
      </c>
      <c r="I35" s="46">
        <f>IF(OR(D35="",F35=""),"",IF(F35=0,"",EDATE(D35,F35)))</f>
        <v/>
      </c>
      <c r="J35" s="47">
        <f>IF(I35="","",I35-TODAY())</f>
        <v/>
      </c>
      <c r="K35" s="45">
        <f>IF(OR(E35="",G35=""),"",IF(G35=0,"",E35+G35))</f>
        <v/>
      </c>
      <c r="L35" s="45">
        <f>IF(OR(K35="",H35=""),"",K35-H35)</f>
        <v/>
      </c>
      <c r="M35" s="47">
        <f>IF(AND(J35="",L35=""),"",IF(OR(AND(J35&lt;&gt;"",J35&lt;0),AND(L35&lt;&gt;"",L35&lt;0)),"🔴 Überfällig",IF(OR(AND(J35&lt;&gt;"",J35&lt;=30),AND(L35&lt;&gt;"",L35&lt;=1000)),"🟡 Bald fällig","🟢 OK")))</f>
        <v/>
      </c>
      <c r="N35" s="37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45">
        <f>IFERROR(VLOOKUP(A36,F_Tabelle,10,FALSE),"")</f>
        <v/>
      </c>
      <c r="I36" s="46">
        <f>IF(OR(D36="",F36=""),"",IF(F36=0,"",EDATE(D36,F36)))</f>
        <v/>
      </c>
      <c r="J36" s="47">
        <f>IF(I36="","",I36-TODAY())</f>
        <v/>
      </c>
      <c r="K36" s="45">
        <f>IF(OR(E36="",G36=""),"",IF(G36=0,"",E36+G36))</f>
        <v/>
      </c>
      <c r="L36" s="45">
        <f>IF(OR(K36="",H36=""),"",K36-H36)</f>
        <v/>
      </c>
      <c r="M36" s="47">
        <f>IF(AND(J36="",L36=""),"",IF(OR(AND(J36&lt;&gt;"",J36&lt;0),AND(L36&lt;&gt;"",L36&lt;0)),"🔴 Überfällig",IF(OR(AND(J36&lt;&gt;"",J36&lt;=30),AND(L36&lt;&gt;"",L36&lt;=1000)),"🟡 Bald fällig","🟢 OK")))</f>
        <v/>
      </c>
      <c r="N36" s="35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45">
        <f>IFERROR(VLOOKUP(A37,F_Tabelle,10,FALSE),"")</f>
        <v/>
      </c>
      <c r="I37" s="46">
        <f>IF(OR(D37="",F37=""),"",IF(F37=0,"",EDATE(D37,F37)))</f>
        <v/>
      </c>
      <c r="J37" s="47">
        <f>IF(I37="","",I37-TODAY())</f>
        <v/>
      </c>
      <c r="K37" s="45">
        <f>IF(OR(E37="",G37=""),"",IF(G37=0,"",E37+G37))</f>
        <v/>
      </c>
      <c r="L37" s="45">
        <f>IF(OR(K37="",H37=""),"",K37-H37)</f>
        <v/>
      </c>
      <c r="M37" s="47">
        <f>IF(AND(J37="",L37=""),"",IF(OR(AND(J37&lt;&gt;"",J37&lt;0),AND(L37&lt;&gt;"",L37&lt;0)),"🔴 Überfällig",IF(OR(AND(J37&lt;&gt;"",J37&lt;=30),AND(L37&lt;&gt;"",L37&lt;=1000)),"🟡 Bald fällig","🟢 OK")))</f>
        <v/>
      </c>
      <c r="N37" s="37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45">
        <f>IFERROR(VLOOKUP(A38,F_Tabelle,10,FALSE),"")</f>
        <v/>
      </c>
      <c r="I38" s="46">
        <f>IF(OR(D38="",F38=""),"",IF(F38=0,"",EDATE(D38,F38)))</f>
        <v/>
      </c>
      <c r="J38" s="47">
        <f>IF(I38="","",I38-TODAY())</f>
        <v/>
      </c>
      <c r="K38" s="45">
        <f>IF(OR(E38="",G38=""),"",IF(G38=0,"",E38+G38))</f>
        <v/>
      </c>
      <c r="L38" s="45">
        <f>IF(OR(K38="",H38=""),"",K38-H38)</f>
        <v/>
      </c>
      <c r="M38" s="47">
        <f>IF(AND(J38="",L38=""),"",IF(OR(AND(J38&lt;&gt;"",J38&lt;0),AND(L38&lt;&gt;"",L38&lt;0)),"🔴 Überfällig",IF(OR(AND(J38&lt;&gt;"",J38&lt;=30),AND(L38&lt;&gt;"",L38&lt;=1000)),"🟡 Bald fällig","🟢 OK")))</f>
        <v/>
      </c>
      <c r="N38" s="35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45">
        <f>IFERROR(VLOOKUP(A39,F_Tabelle,10,FALSE),"")</f>
        <v/>
      </c>
      <c r="I39" s="46">
        <f>IF(OR(D39="",F39=""),"",IF(F39=0,"",EDATE(D39,F39)))</f>
        <v/>
      </c>
      <c r="J39" s="47">
        <f>IF(I39="","",I39-TODAY())</f>
        <v/>
      </c>
      <c r="K39" s="45">
        <f>IF(OR(E39="",G39=""),"",IF(G39=0,"",E39+G39))</f>
        <v/>
      </c>
      <c r="L39" s="45">
        <f>IF(OR(K39="",H39=""),"",K39-H39)</f>
        <v/>
      </c>
      <c r="M39" s="47">
        <f>IF(AND(J39="",L39=""),"",IF(OR(AND(J39&lt;&gt;"",J39&lt;0),AND(L39&lt;&gt;"",L39&lt;0)),"🔴 Überfällig",IF(OR(AND(J39&lt;&gt;"",J39&lt;=30),AND(L39&lt;&gt;"",L39&lt;=1000)),"🟡 Bald fällig","🟢 OK")))</f>
        <v/>
      </c>
      <c r="N39" s="37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45">
        <f>IFERROR(VLOOKUP(A40,F_Tabelle,10,FALSE),"")</f>
        <v/>
      </c>
      <c r="I40" s="46">
        <f>IF(OR(D40="",F40=""),"",IF(F40=0,"",EDATE(D40,F40)))</f>
        <v/>
      </c>
      <c r="J40" s="47">
        <f>IF(I40="","",I40-TODAY())</f>
        <v/>
      </c>
      <c r="K40" s="45">
        <f>IF(OR(E40="",G40=""),"",IF(G40=0,"",E40+G40))</f>
        <v/>
      </c>
      <c r="L40" s="45">
        <f>IF(OR(K40="",H40=""),"",K40-H40)</f>
        <v/>
      </c>
      <c r="M40" s="47">
        <f>IF(AND(J40="",L40=""),"",IF(OR(AND(J40&lt;&gt;"",J40&lt;0),AND(L40&lt;&gt;"",L40&lt;0)),"🔴 Überfällig",IF(OR(AND(J40&lt;&gt;"",J40&lt;=30),AND(L40&lt;&gt;"",L40&lt;=1000)),"🟡 Bald fällig","🟢 OK")))</f>
        <v/>
      </c>
      <c r="N40" s="35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45">
        <f>IFERROR(VLOOKUP(A41,F_Tabelle,10,FALSE),"")</f>
        <v/>
      </c>
      <c r="I41" s="46">
        <f>IF(OR(D41="",F41=""),"",IF(F41=0,"",EDATE(D41,F41)))</f>
        <v/>
      </c>
      <c r="J41" s="47">
        <f>IF(I41="","",I41-TODAY())</f>
        <v/>
      </c>
      <c r="K41" s="45">
        <f>IF(OR(E41="",G41=""),"",IF(G41=0,"",E41+G41))</f>
        <v/>
      </c>
      <c r="L41" s="45">
        <f>IF(OR(K41="",H41=""),"",K41-H41)</f>
        <v/>
      </c>
      <c r="M41" s="47">
        <f>IF(AND(J41="",L41=""),"",IF(OR(AND(J41&lt;&gt;"",J41&lt;0),AND(L41&lt;&gt;"",L41&lt;0)),"🔴 Überfällig",IF(OR(AND(J41&lt;&gt;"",J41&lt;=30),AND(L41&lt;&gt;"",L41&lt;=1000)),"🟡 Bald fällig","🟢 OK")))</f>
        <v/>
      </c>
      <c r="N41" s="37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45">
        <f>IFERROR(VLOOKUP(A42,F_Tabelle,10,FALSE),"")</f>
        <v/>
      </c>
      <c r="I42" s="46">
        <f>IF(OR(D42="",F42=""),"",IF(F42=0,"",EDATE(D42,F42)))</f>
        <v/>
      </c>
      <c r="J42" s="47">
        <f>IF(I42="","",I42-TODAY())</f>
        <v/>
      </c>
      <c r="K42" s="45">
        <f>IF(OR(E42="",G42=""),"",IF(G42=0,"",E42+G42))</f>
        <v/>
      </c>
      <c r="L42" s="45">
        <f>IF(OR(K42="",H42=""),"",K42-H42)</f>
        <v/>
      </c>
      <c r="M42" s="47">
        <f>IF(AND(J42="",L42=""),"",IF(OR(AND(J42&lt;&gt;"",J42&lt;0),AND(L42&lt;&gt;"",L42&lt;0)),"🔴 Überfällig",IF(OR(AND(J42&lt;&gt;"",J42&lt;=30),AND(L42&lt;&gt;"",L42&lt;=1000)),"🟡 Bald fällig","🟢 OK")))</f>
        <v/>
      </c>
      <c r="N42" s="35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45">
        <f>IFERROR(VLOOKUP(A43,F_Tabelle,10,FALSE),"")</f>
        <v/>
      </c>
      <c r="I43" s="46">
        <f>IF(OR(D43="",F43=""),"",IF(F43=0,"",EDATE(D43,F43)))</f>
        <v/>
      </c>
      <c r="J43" s="47">
        <f>IF(I43="","",I43-TODAY())</f>
        <v/>
      </c>
      <c r="K43" s="45">
        <f>IF(OR(E43="",G43=""),"",IF(G43=0,"",E43+G43))</f>
        <v/>
      </c>
      <c r="L43" s="45">
        <f>IF(OR(K43="",H43=""),"",K43-H43)</f>
        <v/>
      </c>
      <c r="M43" s="47">
        <f>IF(AND(J43="",L43=""),"",IF(OR(AND(J43&lt;&gt;"",J43&lt;0),AND(L43&lt;&gt;"",L43&lt;0)),"🔴 Überfällig",IF(OR(AND(J43&lt;&gt;"",J43&lt;=30),AND(L43&lt;&gt;"",L43&lt;=1000)),"🟡 Bald fällig","🟢 OK")))</f>
        <v/>
      </c>
      <c r="N43" s="37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45">
        <f>IFERROR(VLOOKUP(A44,F_Tabelle,10,FALSE),"")</f>
        <v/>
      </c>
      <c r="I44" s="46">
        <f>IF(OR(D44="",F44=""),"",IF(F44=0,"",EDATE(D44,F44)))</f>
        <v/>
      </c>
      <c r="J44" s="47">
        <f>IF(I44="","",I44-TODAY())</f>
        <v/>
      </c>
      <c r="K44" s="45">
        <f>IF(OR(E44="",G44=""),"",IF(G44=0,"",E44+G44))</f>
        <v/>
      </c>
      <c r="L44" s="45">
        <f>IF(OR(K44="",H44=""),"",K44-H44)</f>
        <v/>
      </c>
      <c r="M44" s="47">
        <f>IF(AND(J44="",L44=""),"",IF(OR(AND(J44&lt;&gt;"",J44&lt;0),AND(L44&lt;&gt;"",L44&lt;0)),"🔴 Überfällig",IF(OR(AND(J44&lt;&gt;"",J44&lt;=30),AND(L44&lt;&gt;"",L44&lt;=1000)),"🟡 Bald fällig","🟢 OK")))</f>
        <v/>
      </c>
      <c r="N44" s="35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45">
        <f>IFERROR(VLOOKUP(A45,F_Tabelle,10,FALSE),"")</f>
        <v/>
      </c>
      <c r="I45" s="46">
        <f>IF(OR(D45="",F45=""),"",IF(F45=0,"",EDATE(D45,F45)))</f>
        <v/>
      </c>
      <c r="J45" s="47">
        <f>IF(I45="","",I45-TODAY())</f>
        <v/>
      </c>
      <c r="K45" s="45">
        <f>IF(OR(E45="",G45=""),"",IF(G45=0,"",E45+G45))</f>
        <v/>
      </c>
      <c r="L45" s="45">
        <f>IF(OR(K45="",H45=""),"",K45-H45)</f>
        <v/>
      </c>
      <c r="M45" s="47">
        <f>IF(AND(J45="",L45=""),"",IF(OR(AND(J45&lt;&gt;"",J45&lt;0),AND(L45&lt;&gt;"",L45&lt;0)),"🔴 Überfällig",IF(OR(AND(J45&lt;&gt;"",J45&lt;=30),AND(L45&lt;&gt;"",L45&lt;=1000)),"🟡 Bald fällig","🟢 OK")))</f>
        <v/>
      </c>
      <c r="N45" s="37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45">
        <f>IFERROR(VLOOKUP(A46,F_Tabelle,10,FALSE),"")</f>
        <v/>
      </c>
      <c r="I46" s="46">
        <f>IF(OR(D46="",F46=""),"",IF(F46=0,"",EDATE(D46,F46)))</f>
        <v/>
      </c>
      <c r="J46" s="47">
        <f>IF(I46="","",I46-TODAY())</f>
        <v/>
      </c>
      <c r="K46" s="45">
        <f>IF(OR(E46="",G46=""),"",IF(G46=0,"",E46+G46))</f>
        <v/>
      </c>
      <c r="L46" s="45">
        <f>IF(OR(K46="",H46=""),"",K46-H46)</f>
        <v/>
      </c>
      <c r="M46" s="47">
        <f>IF(AND(J46="",L46=""),"",IF(OR(AND(J46&lt;&gt;"",J46&lt;0),AND(L46&lt;&gt;"",L46&lt;0)),"🔴 Überfällig",IF(OR(AND(J46&lt;&gt;"",J46&lt;=30),AND(L46&lt;&gt;"",L46&lt;=1000)),"🟡 Bald fällig","🟢 OK")))</f>
        <v/>
      </c>
      <c r="N46" s="35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45">
        <f>IFERROR(VLOOKUP(A47,F_Tabelle,10,FALSE),"")</f>
        <v/>
      </c>
      <c r="I47" s="46">
        <f>IF(OR(D47="",F47=""),"",IF(F47=0,"",EDATE(D47,F47)))</f>
        <v/>
      </c>
      <c r="J47" s="47">
        <f>IF(I47="","",I47-TODAY())</f>
        <v/>
      </c>
      <c r="K47" s="45">
        <f>IF(OR(E47="",G47=""),"",IF(G47=0,"",E47+G47))</f>
        <v/>
      </c>
      <c r="L47" s="45">
        <f>IF(OR(K47="",H47=""),"",K47-H47)</f>
        <v/>
      </c>
      <c r="M47" s="47">
        <f>IF(AND(J47="",L47=""),"",IF(OR(AND(J47&lt;&gt;"",J47&lt;0),AND(L47&lt;&gt;"",L47&lt;0)),"🔴 Überfällig",IF(OR(AND(J47&lt;&gt;"",J47&lt;=30),AND(L47&lt;&gt;"",L47&lt;=1000)),"🟡 Bald fällig","🟢 OK")))</f>
        <v/>
      </c>
      <c r="N47" s="37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45">
        <f>IFERROR(VLOOKUP(A48,F_Tabelle,10,FALSE),"")</f>
        <v/>
      </c>
      <c r="I48" s="46">
        <f>IF(OR(D48="",F48=""),"",IF(F48=0,"",EDATE(D48,F48)))</f>
        <v/>
      </c>
      <c r="J48" s="47">
        <f>IF(I48="","",I48-TODAY())</f>
        <v/>
      </c>
      <c r="K48" s="45">
        <f>IF(OR(E48="",G48=""),"",IF(G48=0,"",E48+G48))</f>
        <v/>
      </c>
      <c r="L48" s="45">
        <f>IF(OR(K48="",H48=""),"",K48-H48)</f>
        <v/>
      </c>
      <c r="M48" s="47">
        <f>IF(AND(J48="",L48=""),"",IF(OR(AND(J48&lt;&gt;"",J48&lt;0),AND(L48&lt;&gt;"",L48&lt;0)),"🔴 Überfällig",IF(OR(AND(J48&lt;&gt;"",J48&lt;=30),AND(L48&lt;&gt;"",L48&lt;=1000)),"🟡 Bald fällig","🟢 OK")))</f>
        <v/>
      </c>
      <c r="N48" s="35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45">
        <f>IFERROR(VLOOKUP(A49,F_Tabelle,10,FALSE),"")</f>
        <v/>
      </c>
      <c r="I49" s="46">
        <f>IF(OR(D49="",F49=""),"",IF(F49=0,"",EDATE(D49,F49)))</f>
        <v/>
      </c>
      <c r="J49" s="47">
        <f>IF(I49="","",I49-TODAY())</f>
        <v/>
      </c>
      <c r="K49" s="45">
        <f>IF(OR(E49="",G49=""),"",IF(G49=0,"",E49+G49))</f>
        <v/>
      </c>
      <c r="L49" s="45">
        <f>IF(OR(K49="",H49=""),"",K49-H49)</f>
        <v/>
      </c>
      <c r="M49" s="47">
        <f>IF(AND(J49="",L49=""),"",IF(OR(AND(J49&lt;&gt;"",J49&lt;0),AND(L49&lt;&gt;"",L49&lt;0)),"🔴 Überfällig",IF(OR(AND(J49&lt;&gt;"",J49&lt;=30),AND(L49&lt;&gt;"",L49&lt;=1000)),"🟡 Bald fällig","🟢 OK")))</f>
        <v/>
      </c>
      <c r="N49" s="37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45">
        <f>IFERROR(VLOOKUP(A50,F_Tabelle,10,FALSE),"")</f>
        <v/>
      </c>
      <c r="I50" s="46">
        <f>IF(OR(D50="",F50=""),"",IF(F50=0,"",EDATE(D50,F50)))</f>
        <v/>
      </c>
      <c r="J50" s="47">
        <f>IF(I50="","",I50-TODAY())</f>
        <v/>
      </c>
      <c r="K50" s="45">
        <f>IF(OR(E50="",G50=""),"",IF(G50=0,"",E50+G50))</f>
        <v/>
      </c>
      <c r="L50" s="45">
        <f>IF(OR(K50="",H50=""),"",K50-H50)</f>
        <v/>
      </c>
      <c r="M50" s="47">
        <f>IF(AND(J50="",L50=""),"",IF(OR(AND(J50&lt;&gt;"",J50&lt;0),AND(L50&lt;&gt;"",L50&lt;0)),"🔴 Überfällig",IF(OR(AND(J50&lt;&gt;"",J50&lt;=30),AND(L50&lt;&gt;"",L50&lt;=1000)),"🟡 Bald fällig","🟢 OK")))</f>
        <v/>
      </c>
      <c r="N50" s="35" t="n"/>
    </row>
    <row r="51">
      <c r="A51" s="29" t="n"/>
      <c r="B51" s="29" t="n"/>
      <c r="C51" s="29" t="n"/>
      <c r="D51" s="29" t="n"/>
      <c r="E51" s="29" t="n"/>
      <c r="F51" s="29" t="n"/>
      <c r="G51" s="29" t="n"/>
      <c r="H51" s="45">
        <f>IFERROR(VLOOKUP(A51,F_Tabelle,10,FALSE),"")</f>
        <v/>
      </c>
      <c r="I51" s="46">
        <f>IF(OR(D51="",F51=""),"",IF(F51=0,"",EDATE(D51,F51)))</f>
        <v/>
      </c>
      <c r="J51" s="47">
        <f>IF(I51="","",I51-TODAY())</f>
        <v/>
      </c>
      <c r="K51" s="45">
        <f>IF(OR(E51="",G51=""),"",IF(G51=0,"",E51+G51))</f>
        <v/>
      </c>
      <c r="L51" s="45">
        <f>IF(OR(K51="",H51=""),"",K51-H51)</f>
        <v/>
      </c>
      <c r="M51" s="47">
        <f>IF(AND(J51="",L51=""),"",IF(OR(AND(J51&lt;&gt;"",J51&lt;0),AND(L51&lt;&gt;"",L51&lt;0)),"🔴 Überfällig",IF(OR(AND(J51&lt;&gt;"",J51&lt;=30),AND(L51&lt;&gt;"",L51&lt;=1000)),"🟡 Bald fällig","🟢 OK")))</f>
        <v/>
      </c>
      <c r="N51" s="37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45">
        <f>IFERROR(VLOOKUP(A52,F_Tabelle,10,FALSE),"")</f>
        <v/>
      </c>
      <c r="I52" s="46">
        <f>IF(OR(D52="",F52=""),"",IF(F52=0,"",EDATE(D52,F52)))</f>
        <v/>
      </c>
      <c r="J52" s="47">
        <f>IF(I52="","",I52-TODAY())</f>
        <v/>
      </c>
      <c r="K52" s="45">
        <f>IF(OR(E52="",G52=""),"",IF(G52=0,"",E52+G52))</f>
        <v/>
      </c>
      <c r="L52" s="45">
        <f>IF(OR(K52="",H52=""),"",K52-H52)</f>
        <v/>
      </c>
      <c r="M52" s="47">
        <f>IF(AND(J52="",L52=""),"",IF(OR(AND(J52&lt;&gt;"",J52&lt;0),AND(L52&lt;&gt;"",L52&lt;0)),"🔴 Überfällig",IF(OR(AND(J52&lt;&gt;"",J52&lt;=30),AND(L52&lt;&gt;"",L52&lt;=1000)),"🟡 Bald fällig","🟢 OK")))</f>
        <v/>
      </c>
      <c r="N52" s="35" t="n"/>
    </row>
    <row r="53">
      <c r="A53" s="29" t="n"/>
      <c r="B53" s="29" t="n"/>
      <c r="C53" s="29" t="n"/>
      <c r="D53" s="29" t="n"/>
      <c r="E53" s="29" t="n"/>
      <c r="F53" s="29" t="n"/>
      <c r="G53" s="29" t="n"/>
      <c r="H53" s="45">
        <f>IFERROR(VLOOKUP(A53,F_Tabelle,10,FALSE),"")</f>
        <v/>
      </c>
      <c r="I53" s="46">
        <f>IF(OR(D53="",F53=""),"",IF(F53=0,"",EDATE(D53,F53)))</f>
        <v/>
      </c>
      <c r="J53" s="47">
        <f>IF(I53="","",I53-TODAY())</f>
        <v/>
      </c>
      <c r="K53" s="45">
        <f>IF(OR(E53="",G53=""),"",IF(G53=0,"",E53+G53))</f>
        <v/>
      </c>
      <c r="L53" s="45">
        <f>IF(OR(K53="",H53=""),"",K53-H53)</f>
        <v/>
      </c>
      <c r="M53" s="47">
        <f>IF(AND(J53="",L53=""),"",IF(OR(AND(J53&lt;&gt;"",J53&lt;0),AND(L53&lt;&gt;"",L53&lt;0)),"🔴 Überfällig",IF(OR(AND(J53&lt;&gt;"",J53&lt;=30),AND(L53&lt;&gt;"",L53&lt;=1000)),"🟡 Bald fällig","🟢 OK")))</f>
        <v/>
      </c>
      <c r="N53" s="37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45">
        <f>IFERROR(VLOOKUP(A54,F_Tabelle,10,FALSE),"")</f>
        <v/>
      </c>
      <c r="I54" s="46">
        <f>IF(OR(D54="",F54=""),"",IF(F54=0,"",EDATE(D54,F54)))</f>
        <v/>
      </c>
      <c r="J54" s="47">
        <f>IF(I54="","",I54-TODAY())</f>
        <v/>
      </c>
      <c r="K54" s="45">
        <f>IF(OR(E54="",G54=""),"",IF(G54=0,"",E54+G54))</f>
        <v/>
      </c>
      <c r="L54" s="45">
        <f>IF(OR(K54="",H54=""),"",K54-H54)</f>
        <v/>
      </c>
      <c r="M54" s="47">
        <f>IF(AND(J54="",L54=""),"",IF(OR(AND(J54&lt;&gt;"",J54&lt;0),AND(L54&lt;&gt;"",L54&lt;0)),"🔴 Überfällig",IF(OR(AND(J54&lt;&gt;"",J54&lt;=30),AND(L54&lt;&gt;"",L54&lt;=1000)),"🟡 Bald fällig","🟢 OK")))</f>
        <v/>
      </c>
      <c r="N54" s="35" t="n"/>
    </row>
    <row r="55">
      <c r="A55" s="29" t="n"/>
      <c r="B55" s="29" t="n"/>
      <c r="C55" s="29" t="n"/>
      <c r="D55" s="29" t="n"/>
      <c r="E55" s="29" t="n"/>
      <c r="F55" s="29" t="n"/>
      <c r="G55" s="29" t="n"/>
      <c r="H55" s="45">
        <f>IFERROR(VLOOKUP(A55,F_Tabelle,10,FALSE),"")</f>
        <v/>
      </c>
      <c r="I55" s="46">
        <f>IF(OR(D55="",F55=""),"",IF(F55=0,"",EDATE(D55,F55)))</f>
        <v/>
      </c>
      <c r="J55" s="47">
        <f>IF(I55="","",I55-TODAY())</f>
        <v/>
      </c>
      <c r="K55" s="45">
        <f>IF(OR(E55="",G55=""),"",IF(G55=0,"",E55+G55))</f>
        <v/>
      </c>
      <c r="L55" s="45">
        <f>IF(OR(K55="",H55=""),"",K55-H55)</f>
        <v/>
      </c>
      <c r="M55" s="47">
        <f>IF(AND(J55="",L55=""),"",IF(OR(AND(J55&lt;&gt;"",J55&lt;0),AND(L55&lt;&gt;"",L55&lt;0)),"🔴 Überfällig",IF(OR(AND(J55&lt;&gt;"",J55&lt;=30),AND(L55&lt;&gt;"",L55&lt;=1000)),"🟡 Bald fällig","🟢 OK")))</f>
        <v/>
      </c>
      <c r="N55" s="37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45">
        <f>IFERROR(VLOOKUP(A56,F_Tabelle,10,FALSE),"")</f>
        <v/>
      </c>
      <c r="I56" s="46">
        <f>IF(OR(D56="",F56=""),"",IF(F56=0,"",EDATE(D56,F56)))</f>
        <v/>
      </c>
      <c r="J56" s="47">
        <f>IF(I56="","",I56-TODAY())</f>
        <v/>
      </c>
      <c r="K56" s="45">
        <f>IF(OR(E56="",G56=""),"",IF(G56=0,"",E56+G56))</f>
        <v/>
      </c>
      <c r="L56" s="45">
        <f>IF(OR(K56="",H56=""),"",K56-H56)</f>
        <v/>
      </c>
      <c r="M56" s="47">
        <f>IF(AND(J56="",L56=""),"",IF(OR(AND(J56&lt;&gt;"",J56&lt;0),AND(L56&lt;&gt;"",L56&lt;0)),"🔴 Überfällig",IF(OR(AND(J56&lt;&gt;"",J56&lt;=30),AND(L56&lt;&gt;"",L56&lt;=1000)),"🟡 Bald fällig","🟢 OK")))</f>
        <v/>
      </c>
      <c r="N56" s="35" t="n"/>
    </row>
    <row r="57">
      <c r="A57" s="29" t="n"/>
      <c r="B57" s="29" t="n"/>
      <c r="C57" s="29" t="n"/>
      <c r="D57" s="29" t="n"/>
      <c r="E57" s="29" t="n"/>
      <c r="F57" s="29" t="n"/>
      <c r="G57" s="29" t="n"/>
      <c r="H57" s="45">
        <f>IFERROR(VLOOKUP(A57,F_Tabelle,10,FALSE),"")</f>
        <v/>
      </c>
      <c r="I57" s="46">
        <f>IF(OR(D57="",F57=""),"",IF(F57=0,"",EDATE(D57,F57)))</f>
        <v/>
      </c>
      <c r="J57" s="47">
        <f>IF(I57="","",I57-TODAY())</f>
        <v/>
      </c>
      <c r="K57" s="45">
        <f>IF(OR(E57="",G57=""),"",IF(G57=0,"",E57+G57))</f>
        <v/>
      </c>
      <c r="L57" s="45">
        <f>IF(OR(K57="",H57=""),"",K57-H57)</f>
        <v/>
      </c>
      <c r="M57" s="47">
        <f>IF(AND(J57="",L57=""),"",IF(OR(AND(J57&lt;&gt;"",J57&lt;0),AND(L57&lt;&gt;"",L57&lt;0)),"🔴 Überfällig",IF(OR(AND(J57&lt;&gt;"",J57&lt;=30),AND(L57&lt;&gt;"",L57&lt;=1000)),"🟡 Bald fällig","🟢 OK")))</f>
        <v/>
      </c>
      <c r="N57" s="37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45">
        <f>IFERROR(VLOOKUP(A58,F_Tabelle,10,FALSE),"")</f>
        <v/>
      </c>
      <c r="I58" s="46">
        <f>IF(OR(D58="",F58=""),"",IF(F58=0,"",EDATE(D58,F58)))</f>
        <v/>
      </c>
      <c r="J58" s="47">
        <f>IF(I58="","",I58-TODAY())</f>
        <v/>
      </c>
      <c r="K58" s="45">
        <f>IF(OR(E58="",G58=""),"",IF(G58=0,"",E58+G58))</f>
        <v/>
      </c>
      <c r="L58" s="45">
        <f>IF(OR(K58="",H58=""),"",K58-H58)</f>
        <v/>
      </c>
      <c r="M58" s="47">
        <f>IF(AND(J58="",L58=""),"",IF(OR(AND(J58&lt;&gt;"",J58&lt;0),AND(L58&lt;&gt;"",L58&lt;0)),"🔴 Überfällig",IF(OR(AND(J58&lt;&gt;"",J58&lt;=30),AND(L58&lt;&gt;"",L58&lt;=1000)),"🟡 Bald fällig","🟢 OK")))</f>
        <v/>
      </c>
      <c r="N58" s="35" t="n"/>
    </row>
    <row r="59">
      <c r="A59" s="29" t="n"/>
      <c r="B59" s="29" t="n"/>
      <c r="C59" s="29" t="n"/>
      <c r="D59" s="29" t="n"/>
      <c r="E59" s="29" t="n"/>
      <c r="F59" s="29" t="n"/>
      <c r="G59" s="29" t="n"/>
      <c r="H59" s="45">
        <f>IFERROR(VLOOKUP(A59,F_Tabelle,10,FALSE),"")</f>
        <v/>
      </c>
      <c r="I59" s="46">
        <f>IF(OR(D59="",F59=""),"",IF(F59=0,"",EDATE(D59,F59)))</f>
        <v/>
      </c>
      <c r="J59" s="47">
        <f>IF(I59="","",I59-TODAY())</f>
        <v/>
      </c>
      <c r="K59" s="45">
        <f>IF(OR(E59="",G59=""),"",IF(G59=0,"",E59+G59))</f>
        <v/>
      </c>
      <c r="L59" s="45">
        <f>IF(OR(K59="",H59=""),"",K59-H59)</f>
        <v/>
      </c>
      <c r="M59" s="47">
        <f>IF(AND(J59="",L59=""),"",IF(OR(AND(J59&lt;&gt;"",J59&lt;0),AND(L59&lt;&gt;"",L59&lt;0)),"🔴 Überfällig",IF(OR(AND(J59&lt;&gt;"",J59&lt;=30),AND(L59&lt;&gt;"",L59&lt;=1000)),"🟡 Bald fällig","🟢 OK")))</f>
        <v/>
      </c>
      <c r="N59" s="37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45">
        <f>IFERROR(VLOOKUP(A60,F_Tabelle,10,FALSE),"")</f>
        <v/>
      </c>
      <c r="I60" s="46">
        <f>IF(OR(D60="",F60=""),"",IF(F60=0,"",EDATE(D60,F60)))</f>
        <v/>
      </c>
      <c r="J60" s="47">
        <f>IF(I60="","",I60-TODAY())</f>
        <v/>
      </c>
      <c r="K60" s="45">
        <f>IF(OR(E60="",G60=""),"",IF(G60=0,"",E60+G60))</f>
        <v/>
      </c>
      <c r="L60" s="45">
        <f>IF(OR(K60="",H60=""),"",K60-H60)</f>
        <v/>
      </c>
      <c r="M60" s="47">
        <f>IF(AND(J60="",L60=""),"",IF(OR(AND(J60&lt;&gt;"",J60&lt;0),AND(L60&lt;&gt;"",L60&lt;0)),"🔴 Überfällig",IF(OR(AND(J60&lt;&gt;"",J60&lt;=30),AND(L60&lt;&gt;"",L60&lt;=1000)),"🟡 Bald fällig","🟢 OK")))</f>
        <v/>
      </c>
      <c r="N60" s="35" t="n"/>
    </row>
    <row r="61">
      <c r="A61" s="29" t="n"/>
      <c r="B61" s="29" t="n"/>
      <c r="C61" s="29" t="n"/>
      <c r="D61" s="29" t="n"/>
      <c r="E61" s="29" t="n"/>
      <c r="F61" s="29" t="n"/>
      <c r="G61" s="29" t="n"/>
      <c r="H61" s="45">
        <f>IFERROR(VLOOKUP(A61,F_Tabelle,10,FALSE),"")</f>
        <v/>
      </c>
      <c r="I61" s="46">
        <f>IF(OR(D61="",F61=""),"",IF(F61=0,"",EDATE(D61,F61)))</f>
        <v/>
      </c>
      <c r="J61" s="47">
        <f>IF(I61="","",I61-TODAY())</f>
        <v/>
      </c>
      <c r="K61" s="45">
        <f>IF(OR(E61="",G61=""),"",IF(G61=0,"",E61+G61))</f>
        <v/>
      </c>
      <c r="L61" s="45">
        <f>IF(OR(K61="",H61=""),"",K61-H61)</f>
        <v/>
      </c>
      <c r="M61" s="47">
        <f>IF(AND(J61="",L61=""),"",IF(OR(AND(J61&lt;&gt;"",J61&lt;0),AND(L61&lt;&gt;"",L61&lt;0)),"🔴 Überfällig",IF(OR(AND(J61&lt;&gt;"",J61&lt;=30),AND(L61&lt;&gt;"",L61&lt;=1000)),"🟡 Bald fällig","🟢 OK")))</f>
        <v/>
      </c>
      <c r="N61" s="37" t="n"/>
    </row>
    <row r="62">
      <c r="A62" s="31" t="n"/>
      <c r="B62" s="31" t="n"/>
      <c r="C62" s="31" t="n"/>
      <c r="D62" s="31" t="n"/>
      <c r="E62" s="31" t="n"/>
      <c r="F62" s="31" t="n"/>
      <c r="G62" s="31" t="n"/>
      <c r="H62" s="45">
        <f>IFERROR(VLOOKUP(A62,F_Tabelle,10,FALSE),"")</f>
        <v/>
      </c>
      <c r="I62" s="46">
        <f>IF(OR(D62="",F62=""),"",IF(F62=0,"",EDATE(D62,F62)))</f>
        <v/>
      </c>
      <c r="J62" s="47">
        <f>IF(I62="","",I62-TODAY())</f>
        <v/>
      </c>
      <c r="K62" s="45">
        <f>IF(OR(E62="",G62=""),"",IF(G62=0,"",E62+G62))</f>
        <v/>
      </c>
      <c r="L62" s="45">
        <f>IF(OR(K62="",H62=""),"",K62-H62)</f>
        <v/>
      </c>
      <c r="M62" s="47">
        <f>IF(AND(J62="",L62=""),"",IF(OR(AND(J62&lt;&gt;"",J62&lt;0),AND(L62&lt;&gt;"",L62&lt;0)),"🔴 Überfällig",IF(OR(AND(J62&lt;&gt;"",J62&lt;=30),AND(L62&lt;&gt;"",L62&lt;=1000)),"🟡 Bald fällig","🟢 OK")))</f>
        <v/>
      </c>
      <c r="N62" s="35" t="n"/>
    </row>
    <row r="63">
      <c r="A63" s="29" t="n"/>
      <c r="B63" s="29" t="n"/>
      <c r="C63" s="29" t="n"/>
      <c r="D63" s="29" t="n"/>
      <c r="E63" s="29" t="n"/>
      <c r="F63" s="29" t="n"/>
      <c r="G63" s="29" t="n"/>
      <c r="H63" s="45">
        <f>IFERROR(VLOOKUP(A63,F_Tabelle,10,FALSE),"")</f>
        <v/>
      </c>
      <c r="I63" s="46">
        <f>IF(OR(D63="",F63=""),"",IF(F63=0,"",EDATE(D63,F63)))</f>
        <v/>
      </c>
      <c r="J63" s="47">
        <f>IF(I63="","",I63-TODAY())</f>
        <v/>
      </c>
      <c r="K63" s="45">
        <f>IF(OR(E63="",G63=""),"",IF(G63=0,"",E63+G63))</f>
        <v/>
      </c>
      <c r="L63" s="45">
        <f>IF(OR(K63="",H63=""),"",K63-H63)</f>
        <v/>
      </c>
      <c r="M63" s="47">
        <f>IF(AND(J63="",L63=""),"",IF(OR(AND(J63&lt;&gt;"",J63&lt;0),AND(L63&lt;&gt;"",L63&lt;0)),"🔴 Überfällig",IF(OR(AND(J63&lt;&gt;"",J63&lt;=30),AND(L63&lt;&gt;"",L63&lt;=1000)),"🟡 Bald fällig","🟢 OK")))</f>
        <v/>
      </c>
      <c r="N63" s="37" t="n"/>
    </row>
    <row r="64">
      <c r="A64" s="31" t="n"/>
      <c r="B64" s="31" t="n"/>
      <c r="C64" s="31" t="n"/>
      <c r="D64" s="31" t="n"/>
      <c r="E64" s="31" t="n"/>
      <c r="F64" s="31" t="n"/>
      <c r="G64" s="31" t="n"/>
      <c r="H64" s="45">
        <f>IFERROR(VLOOKUP(A64,F_Tabelle,10,FALSE),"")</f>
        <v/>
      </c>
      <c r="I64" s="46">
        <f>IF(OR(D64="",F64=""),"",IF(F64=0,"",EDATE(D64,F64)))</f>
        <v/>
      </c>
      <c r="J64" s="47">
        <f>IF(I64="","",I64-TODAY())</f>
        <v/>
      </c>
      <c r="K64" s="45">
        <f>IF(OR(E64="",G64=""),"",IF(G64=0,"",E64+G64))</f>
        <v/>
      </c>
      <c r="L64" s="45">
        <f>IF(OR(K64="",H64=""),"",K64-H64)</f>
        <v/>
      </c>
      <c r="M64" s="47">
        <f>IF(AND(J64="",L64=""),"",IF(OR(AND(J64&lt;&gt;"",J64&lt;0),AND(L64&lt;&gt;"",L64&lt;0)),"🔴 Überfällig",IF(OR(AND(J64&lt;&gt;"",J64&lt;=30),AND(L64&lt;&gt;"",L64&lt;=1000)),"🟡 Bald fällig","🟢 OK")))</f>
        <v/>
      </c>
      <c r="N64" s="35" t="n"/>
    </row>
    <row r="65">
      <c r="A65" s="29" t="n"/>
      <c r="B65" s="29" t="n"/>
      <c r="C65" s="29" t="n"/>
      <c r="D65" s="29" t="n"/>
      <c r="E65" s="29" t="n"/>
      <c r="F65" s="29" t="n"/>
      <c r="G65" s="29" t="n"/>
      <c r="H65" s="45">
        <f>IFERROR(VLOOKUP(A65,F_Tabelle,10,FALSE),"")</f>
        <v/>
      </c>
      <c r="I65" s="46">
        <f>IF(OR(D65="",F65=""),"",IF(F65=0,"",EDATE(D65,F65)))</f>
        <v/>
      </c>
      <c r="J65" s="47">
        <f>IF(I65="","",I65-TODAY())</f>
        <v/>
      </c>
      <c r="K65" s="45">
        <f>IF(OR(E65="",G65=""),"",IF(G65=0,"",E65+G65))</f>
        <v/>
      </c>
      <c r="L65" s="45">
        <f>IF(OR(K65="",H65=""),"",K65-H65)</f>
        <v/>
      </c>
      <c r="M65" s="47">
        <f>IF(AND(J65="",L65=""),"",IF(OR(AND(J65&lt;&gt;"",J65&lt;0),AND(L65&lt;&gt;"",L65&lt;0)),"🔴 Überfällig",IF(OR(AND(J65&lt;&gt;"",J65&lt;=30),AND(L65&lt;&gt;"",L65&lt;=1000)),"🟡 Bald fällig","🟢 OK")))</f>
        <v/>
      </c>
      <c r="N65" s="37" t="n"/>
    </row>
    <row r="66">
      <c r="A66" s="31" t="n"/>
      <c r="B66" s="31" t="n"/>
      <c r="C66" s="31" t="n"/>
      <c r="D66" s="31" t="n"/>
      <c r="E66" s="31" t="n"/>
      <c r="F66" s="31" t="n"/>
      <c r="G66" s="31" t="n"/>
      <c r="H66" s="45">
        <f>IFERROR(VLOOKUP(A66,F_Tabelle,10,FALSE),"")</f>
        <v/>
      </c>
      <c r="I66" s="46">
        <f>IF(OR(D66="",F66=""),"",IF(F66=0,"",EDATE(D66,F66)))</f>
        <v/>
      </c>
      <c r="J66" s="47">
        <f>IF(I66="","",I66-TODAY())</f>
        <v/>
      </c>
      <c r="K66" s="45">
        <f>IF(OR(E66="",G66=""),"",IF(G66=0,"",E66+G66))</f>
        <v/>
      </c>
      <c r="L66" s="45">
        <f>IF(OR(K66="",H66=""),"",K66-H66)</f>
        <v/>
      </c>
      <c r="M66" s="47">
        <f>IF(AND(J66="",L66=""),"",IF(OR(AND(J66&lt;&gt;"",J66&lt;0),AND(L66&lt;&gt;"",L66&lt;0)),"🔴 Überfällig",IF(OR(AND(J66&lt;&gt;"",J66&lt;=30),AND(L66&lt;&gt;"",L66&lt;=1000)),"🟡 Bald fällig","🟢 OK")))</f>
        <v/>
      </c>
      <c r="N66" s="35" t="n"/>
    </row>
    <row r="67">
      <c r="A67" s="29" t="n"/>
      <c r="B67" s="29" t="n"/>
      <c r="C67" s="29" t="n"/>
      <c r="D67" s="29" t="n"/>
      <c r="E67" s="29" t="n"/>
      <c r="F67" s="29" t="n"/>
      <c r="G67" s="29" t="n"/>
      <c r="H67" s="45">
        <f>IFERROR(VLOOKUP(A67,F_Tabelle,10,FALSE),"")</f>
        <v/>
      </c>
      <c r="I67" s="46">
        <f>IF(OR(D67="",F67=""),"",IF(F67=0,"",EDATE(D67,F67)))</f>
        <v/>
      </c>
      <c r="J67" s="47">
        <f>IF(I67="","",I67-TODAY())</f>
        <v/>
      </c>
      <c r="K67" s="45">
        <f>IF(OR(E67="",G67=""),"",IF(G67=0,"",E67+G67))</f>
        <v/>
      </c>
      <c r="L67" s="45">
        <f>IF(OR(K67="",H67=""),"",K67-H67)</f>
        <v/>
      </c>
      <c r="M67" s="47">
        <f>IF(AND(J67="",L67=""),"",IF(OR(AND(J67&lt;&gt;"",J67&lt;0),AND(L67&lt;&gt;"",L67&lt;0)),"🔴 Überfällig",IF(OR(AND(J67&lt;&gt;"",J67&lt;=30),AND(L67&lt;&gt;"",L67&lt;=1000)),"🟡 Bald fällig","🟢 OK")))</f>
        <v/>
      </c>
      <c r="N67" s="37" t="n"/>
    </row>
    <row r="68">
      <c r="A68" s="31" t="n"/>
      <c r="B68" s="31" t="n"/>
      <c r="C68" s="31" t="n"/>
      <c r="D68" s="31" t="n"/>
      <c r="E68" s="31" t="n"/>
      <c r="F68" s="31" t="n"/>
      <c r="G68" s="31" t="n"/>
      <c r="H68" s="45">
        <f>IFERROR(VLOOKUP(A68,F_Tabelle,10,FALSE),"")</f>
        <v/>
      </c>
      <c r="I68" s="46">
        <f>IF(OR(D68="",F68=""),"",IF(F68=0,"",EDATE(D68,F68)))</f>
        <v/>
      </c>
      <c r="J68" s="47">
        <f>IF(I68="","",I68-TODAY())</f>
        <v/>
      </c>
      <c r="K68" s="45">
        <f>IF(OR(E68="",G68=""),"",IF(G68=0,"",E68+G68))</f>
        <v/>
      </c>
      <c r="L68" s="45">
        <f>IF(OR(K68="",H68=""),"",K68-H68)</f>
        <v/>
      </c>
      <c r="M68" s="47">
        <f>IF(AND(J68="",L68=""),"",IF(OR(AND(J68&lt;&gt;"",J68&lt;0),AND(L68&lt;&gt;"",L68&lt;0)),"🔴 Überfällig",IF(OR(AND(J68&lt;&gt;"",J68&lt;=30),AND(L68&lt;&gt;"",L68&lt;=1000)),"🟡 Bald fällig","🟢 OK")))</f>
        <v/>
      </c>
      <c r="N68" s="35" t="n"/>
    </row>
    <row r="69">
      <c r="A69" s="29" t="n"/>
      <c r="B69" s="29" t="n"/>
      <c r="C69" s="29" t="n"/>
      <c r="D69" s="29" t="n"/>
      <c r="E69" s="29" t="n"/>
      <c r="F69" s="29" t="n"/>
      <c r="G69" s="29" t="n"/>
      <c r="H69" s="45">
        <f>IFERROR(VLOOKUP(A69,F_Tabelle,10,FALSE),"")</f>
        <v/>
      </c>
      <c r="I69" s="46">
        <f>IF(OR(D69="",F69=""),"",IF(F69=0,"",EDATE(D69,F69)))</f>
        <v/>
      </c>
      <c r="J69" s="47">
        <f>IF(I69="","",I69-TODAY())</f>
        <v/>
      </c>
      <c r="K69" s="45">
        <f>IF(OR(E69="",G69=""),"",IF(G69=0,"",E69+G69))</f>
        <v/>
      </c>
      <c r="L69" s="45">
        <f>IF(OR(K69="",H69=""),"",K69-H69)</f>
        <v/>
      </c>
      <c r="M69" s="47">
        <f>IF(AND(J69="",L69=""),"",IF(OR(AND(J69&lt;&gt;"",J69&lt;0),AND(L69&lt;&gt;"",L69&lt;0)),"🔴 Überfällig",IF(OR(AND(J69&lt;&gt;"",J69&lt;=30),AND(L69&lt;&gt;"",L69&lt;=1000)),"🟡 Bald fällig","🟢 OK")))</f>
        <v/>
      </c>
      <c r="N69" s="37" t="n"/>
    </row>
    <row r="70">
      <c r="A70" s="31" t="n"/>
      <c r="B70" s="31" t="n"/>
      <c r="C70" s="31" t="n"/>
      <c r="D70" s="31" t="n"/>
      <c r="E70" s="31" t="n"/>
      <c r="F70" s="31" t="n"/>
      <c r="G70" s="31" t="n"/>
      <c r="H70" s="45">
        <f>IFERROR(VLOOKUP(A70,F_Tabelle,10,FALSE),"")</f>
        <v/>
      </c>
      <c r="I70" s="46">
        <f>IF(OR(D70="",F70=""),"",IF(F70=0,"",EDATE(D70,F70)))</f>
        <v/>
      </c>
      <c r="J70" s="47">
        <f>IF(I70="","",I70-TODAY())</f>
        <v/>
      </c>
      <c r="K70" s="45">
        <f>IF(OR(E70="",G70=""),"",IF(G70=0,"",E70+G70))</f>
        <v/>
      </c>
      <c r="L70" s="45">
        <f>IF(OR(K70="",H70=""),"",K70-H70)</f>
        <v/>
      </c>
      <c r="M70" s="47">
        <f>IF(AND(J70="",L70=""),"",IF(OR(AND(J70&lt;&gt;"",J70&lt;0),AND(L70&lt;&gt;"",L70&lt;0)),"🔴 Überfällig",IF(OR(AND(J70&lt;&gt;"",J70&lt;=30),AND(L70&lt;&gt;"",L70&lt;=1000)),"🟡 Bald fällig","🟢 OK")))</f>
        <v/>
      </c>
      <c r="N70" s="35" t="n"/>
    </row>
    <row r="71">
      <c r="A71" s="29" t="n"/>
      <c r="B71" s="29" t="n"/>
      <c r="C71" s="29" t="n"/>
      <c r="D71" s="29" t="n"/>
      <c r="E71" s="29" t="n"/>
      <c r="F71" s="29" t="n"/>
      <c r="G71" s="29" t="n"/>
      <c r="H71" s="45">
        <f>IFERROR(VLOOKUP(A71,F_Tabelle,10,FALSE),"")</f>
        <v/>
      </c>
      <c r="I71" s="46">
        <f>IF(OR(D71="",F71=""),"",IF(F71=0,"",EDATE(D71,F71)))</f>
        <v/>
      </c>
      <c r="J71" s="47">
        <f>IF(I71="","",I71-TODAY())</f>
        <v/>
      </c>
      <c r="K71" s="45">
        <f>IF(OR(E71="",G71=""),"",IF(G71=0,"",E71+G71))</f>
        <v/>
      </c>
      <c r="L71" s="45">
        <f>IF(OR(K71="",H71=""),"",K71-H71)</f>
        <v/>
      </c>
      <c r="M71" s="47">
        <f>IF(AND(J71="",L71=""),"",IF(OR(AND(J71&lt;&gt;"",J71&lt;0),AND(L71&lt;&gt;"",L71&lt;0)),"🔴 Überfällig",IF(OR(AND(J71&lt;&gt;"",J71&lt;=30),AND(L71&lt;&gt;"",L71&lt;=1000)),"🟡 Bald fällig","🟢 OK")))</f>
        <v/>
      </c>
      <c r="N71" s="37" t="n"/>
    </row>
    <row r="72">
      <c r="A72" s="31" t="n"/>
      <c r="B72" s="31" t="n"/>
      <c r="C72" s="31" t="n"/>
      <c r="D72" s="31" t="n"/>
      <c r="E72" s="31" t="n"/>
      <c r="F72" s="31" t="n"/>
      <c r="G72" s="31" t="n"/>
      <c r="H72" s="45">
        <f>IFERROR(VLOOKUP(A72,F_Tabelle,10,FALSE),"")</f>
        <v/>
      </c>
      <c r="I72" s="46">
        <f>IF(OR(D72="",F72=""),"",IF(F72=0,"",EDATE(D72,F72)))</f>
        <v/>
      </c>
      <c r="J72" s="47">
        <f>IF(I72="","",I72-TODAY())</f>
        <v/>
      </c>
      <c r="K72" s="45">
        <f>IF(OR(E72="",G72=""),"",IF(G72=0,"",E72+G72))</f>
        <v/>
      </c>
      <c r="L72" s="45">
        <f>IF(OR(K72="",H72=""),"",K72-H72)</f>
        <v/>
      </c>
      <c r="M72" s="47">
        <f>IF(AND(J72="",L72=""),"",IF(OR(AND(J72&lt;&gt;"",J72&lt;0),AND(L72&lt;&gt;"",L72&lt;0)),"🔴 Überfällig",IF(OR(AND(J72&lt;&gt;"",J72&lt;=30),AND(L72&lt;&gt;"",L72&lt;=1000)),"🟡 Bald fällig","🟢 OK")))</f>
        <v/>
      </c>
      <c r="N72" s="35" t="n"/>
    </row>
    <row r="73">
      <c r="A73" s="29" t="n"/>
      <c r="B73" s="29" t="n"/>
      <c r="C73" s="29" t="n"/>
      <c r="D73" s="29" t="n"/>
      <c r="E73" s="29" t="n"/>
      <c r="F73" s="29" t="n"/>
      <c r="G73" s="29" t="n"/>
      <c r="H73" s="45">
        <f>IFERROR(VLOOKUP(A73,F_Tabelle,10,FALSE),"")</f>
        <v/>
      </c>
      <c r="I73" s="46">
        <f>IF(OR(D73="",F73=""),"",IF(F73=0,"",EDATE(D73,F73)))</f>
        <v/>
      </c>
      <c r="J73" s="47">
        <f>IF(I73="","",I73-TODAY())</f>
        <v/>
      </c>
      <c r="K73" s="45">
        <f>IF(OR(E73="",G73=""),"",IF(G73=0,"",E73+G73))</f>
        <v/>
      </c>
      <c r="L73" s="45">
        <f>IF(OR(K73="",H73=""),"",K73-H73)</f>
        <v/>
      </c>
      <c r="M73" s="47">
        <f>IF(AND(J73="",L73=""),"",IF(OR(AND(J73&lt;&gt;"",J73&lt;0),AND(L73&lt;&gt;"",L73&lt;0)),"🔴 Überfällig",IF(OR(AND(J73&lt;&gt;"",J73&lt;=30),AND(L73&lt;&gt;"",L73&lt;=1000)),"🟡 Bald fällig","🟢 OK")))</f>
        <v/>
      </c>
      <c r="N73" s="37" t="n"/>
    </row>
    <row r="74">
      <c r="A74" s="31" t="n"/>
      <c r="B74" s="31" t="n"/>
      <c r="C74" s="31" t="n"/>
      <c r="D74" s="31" t="n"/>
      <c r="E74" s="31" t="n"/>
      <c r="F74" s="31" t="n"/>
      <c r="G74" s="31" t="n"/>
      <c r="H74" s="45">
        <f>IFERROR(VLOOKUP(A74,F_Tabelle,10,FALSE),"")</f>
        <v/>
      </c>
      <c r="I74" s="46">
        <f>IF(OR(D74="",F74=""),"",IF(F74=0,"",EDATE(D74,F74)))</f>
        <v/>
      </c>
      <c r="J74" s="47">
        <f>IF(I74="","",I74-TODAY())</f>
        <v/>
      </c>
      <c r="K74" s="45">
        <f>IF(OR(E74="",G74=""),"",IF(G74=0,"",E74+G74))</f>
        <v/>
      </c>
      <c r="L74" s="45">
        <f>IF(OR(K74="",H74=""),"",K74-H74)</f>
        <v/>
      </c>
      <c r="M74" s="47">
        <f>IF(AND(J74="",L74=""),"",IF(OR(AND(J74&lt;&gt;"",J74&lt;0),AND(L74&lt;&gt;"",L74&lt;0)),"🔴 Überfällig",IF(OR(AND(J74&lt;&gt;"",J74&lt;=30),AND(L74&lt;&gt;"",L74&lt;=1000)),"🟡 Bald fällig","🟢 OK")))</f>
        <v/>
      </c>
      <c r="N74" s="35" t="n"/>
    </row>
    <row r="75">
      <c r="A75" s="29" t="n"/>
      <c r="B75" s="29" t="n"/>
      <c r="C75" s="29" t="n"/>
      <c r="D75" s="29" t="n"/>
      <c r="E75" s="29" t="n"/>
      <c r="F75" s="29" t="n"/>
      <c r="G75" s="29" t="n"/>
      <c r="H75" s="45">
        <f>IFERROR(VLOOKUP(A75,F_Tabelle,10,FALSE),"")</f>
        <v/>
      </c>
      <c r="I75" s="46">
        <f>IF(OR(D75="",F75=""),"",IF(F75=0,"",EDATE(D75,F75)))</f>
        <v/>
      </c>
      <c r="J75" s="47">
        <f>IF(I75="","",I75-TODAY())</f>
        <v/>
      </c>
      <c r="K75" s="45">
        <f>IF(OR(E75="",G75=""),"",IF(G75=0,"",E75+G75))</f>
        <v/>
      </c>
      <c r="L75" s="45">
        <f>IF(OR(K75="",H75=""),"",K75-H75)</f>
        <v/>
      </c>
      <c r="M75" s="47">
        <f>IF(AND(J75="",L75=""),"",IF(OR(AND(J75&lt;&gt;"",J75&lt;0),AND(L75&lt;&gt;"",L75&lt;0)),"🔴 Überfällig",IF(OR(AND(J75&lt;&gt;"",J75&lt;=30),AND(L75&lt;&gt;"",L75&lt;=1000)),"🟡 Bald fällig","🟢 OK")))</f>
        <v/>
      </c>
      <c r="N75" s="37" t="n"/>
    </row>
    <row r="76">
      <c r="A76" s="31" t="n"/>
      <c r="B76" s="31" t="n"/>
      <c r="C76" s="31" t="n"/>
      <c r="D76" s="31" t="n"/>
      <c r="E76" s="31" t="n"/>
      <c r="F76" s="31" t="n"/>
      <c r="G76" s="31" t="n"/>
      <c r="H76" s="45">
        <f>IFERROR(VLOOKUP(A76,F_Tabelle,10,FALSE),"")</f>
        <v/>
      </c>
      <c r="I76" s="46">
        <f>IF(OR(D76="",F76=""),"",IF(F76=0,"",EDATE(D76,F76)))</f>
        <v/>
      </c>
      <c r="J76" s="47">
        <f>IF(I76="","",I76-TODAY())</f>
        <v/>
      </c>
      <c r="K76" s="45">
        <f>IF(OR(E76="",G76=""),"",IF(G76=0,"",E76+G76))</f>
        <v/>
      </c>
      <c r="L76" s="45">
        <f>IF(OR(K76="",H76=""),"",K76-H76)</f>
        <v/>
      </c>
      <c r="M76" s="47">
        <f>IF(AND(J76="",L76=""),"",IF(OR(AND(J76&lt;&gt;"",J76&lt;0),AND(L76&lt;&gt;"",L76&lt;0)),"🔴 Überfällig",IF(OR(AND(J76&lt;&gt;"",J76&lt;=30),AND(L76&lt;&gt;"",L76&lt;=1000)),"🟡 Bald fällig","🟢 OK")))</f>
        <v/>
      </c>
      <c r="N76" s="35" t="n"/>
    </row>
    <row r="77">
      <c r="A77" s="29" t="n"/>
      <c r="B77" s="29" t="n"/>
      <c r="C77" s="29" t="n"/>
      <c r="D77" s="29" t="n"/>
      <c r="E77" s="29" t="n"/>
      <c r="F77" s="29" t="n"/>
      <c r="G77" s="29" t="n"/>
      <c r="H77" s="45">
        <f>IFERROR(VLOOKUP(A77,F_Tabelle,10,FALSE),"")</f>
        <v/>
      </c>
      <c r="I77" s="46">
        <f>IF(OR(D77="",F77=""),"",IF(F77=0,"",EDATE(D77,F77)))</f>
        <v/>
      </c>
      <c r="J77" s="47">
        <f>IF(I77="","",I77-TODAY())</f>
        <v/>
      </c>
      <c r="K77" s="45">
        <f>IF(OR(E77="",G77=""),"",IF(G77=0,"",E77+G77))</f>
        <v/>
      </c>
      <c r="L77" s="45">
        <f>IF(OR(K77="",H77=""),"",K77-H77)</f>
        <v/>
      </c>
      <c r="M77" s="47">
        <f>IF(AND(J77="",L77=""),"",IF(OR(AND(J77&lt;&gt;"",J77&lt;0),AND(L77&lt;&gt;"",L77&lt;0)),"🔴 Überfällig",IF(OR(AND(J77&lt;&gt;"",J77&lt;=30),AND(L77&lt;&gt;"",L77&lt;=1000)),"🟡 Bald fällig","🟢 OK")))</f>
        <v/>
      </c>
      <c r="N77" s="37" t="n"/>
    </row>
    <row r="78">
      <c r="A78" s="31" t="n"/>
      <c r="B78" s="31" t="n"/>
      <c r="C78" s="31" t="n"/>
      <c r="D78" s="31" t="n"/>
      <c r="E78" s="31" t="n"/>
      <c r="F78" s="31" t="n"/>
      <c r="G78" s="31" t="n"/>
      <c r="H78" s="45">
        <f>IFERROR(VLOOKUP(A78,F_Tabelle,10,FALSE),"")</f>
        <v/>
      </c>
      <c r="I78" s="46">
        <f>IF(OR(D78="",F78=""),"",IF(F78=0,"",EDATE(D78,F78)))</f>
        <v/>
      </c>
      <c r="J78" s="47">
        <f>IF(I78="","",I78-TODAY())</f>
        <v/>
      </c>
      <c r="K78" s="45">
        <f>IF(OR(E78="",G78=""),"",IF(G78=0,"",E78+G78))</f>
        <v/>
      </c>
      <c r="L78" s="45">
        <f>IF(OR(K78="",H78=""),"",K78-H78)</f>
        <v/>
      </c>
      <c r="M78" s="47">
        <f>IF(AND(J78="",L78=""),"",IF(OR(AND(J78&lt;&gt;"",J78&lt;0),AND(L78&lt;&gt;"",L78&lt;0)),"🔴 Überfällig",IF(OR(AND(J78&lt;&gt;"",J78&lt;=30),AND(L78&lt;&gt;"",L78&lt;=1000)),"🟡 Bald fällig","🟢 OK")))</f>
        <v/>
      </c>
      <c r="N78" s="35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45">
        <f>IFERROR(VLOOKUP(A79,F_Tabelle,10,FALSE),"")</f>
        <v/>
      </c>
      <c r="I79" s="46">
        <f>IF(OR(D79="",F79=""),"",IF(F79=0,"",EDATE(D79,F79)))</f>
        <v/>
      </c>
      <c r="J79" s="47">
        <f>IF(I79="","",I79-TODAY())</f>
        <v/>
      </c>
      <c r="K79" s="45">
        <f>IF(OR(E79="",G79=""),"",IF(G79=0,"",E79+G79))</f>
        <v/>
      </c>
      <c r="L79" s="45">
        <f>IF(OR(K79="",H79=""),"",K79-H79)</f>
        <v/>
      </c>
      <c r="M79" s="47">
        <f>IF(AND(J79="",L79=""),"",IF(OR(AND(J79&lt;&gt;"",J79&lt;0),AND(L79&lt;&gt;"",L79&lt;0)),"🔴 Überfällig",IF(OR(AND(J79&lt;&gt;"",J79&lt;=30),AND(L79&lt;&gt;"",L79&lt;=1000)),"🟡 Bald fällig","🟢 OK")))</f>
        <v/>
      </c>
      <c r="N79" s="37" t="n"/>
    </row>
    <row r="80">
      <c r="A80" s="31" t="n"/>
      <c r="B80" s="31" t="n"/>
      <c r="C80" s="31" t="n"/>
      <c r="D80" s="31" t="n"/>
      <c r="E80" s="31" t="n"/>
      <c r="F80" s="31" t="n"/>
      <c r="G80" s="31" t="n"/>
      <c r="H80" s="45">
        <f>IFERROR(VLOOKUP(A80,F_Tabelle,10,FALSE),"")</f>
        <v/>
      </c>
      <c r="I80" s="46">
        <f>IF(OR(D80="",F80=""),"",IF(F80=0,"",EDATE(D80,F80)))</f>
        <v/>
      </c>
      <c r="J80" s="47">
        <f>IF(I80="","",I80-TODAY())</f>
        <v/>
      </c>
      <c r="K80" s="45">
        <f>IF(OR(E80="",G80=""),"",IF(G80=0,"",E80+G80))</f>
        <v/>
      </c>
      <c r="L80" s="45">
        <f>IF(OR(K80="",H80=""),"",K80-H80)</f>
        <v/>
      </c>
      <c r="M80" s="47">
        <f>IF(AND(J80="",L80=""),"",IF(OR(AND(J80&lt;&gt;"",J80&lt;0),AND(L80&lt;&gt;"",L80&lt;0)),"🔴 Überfällig",IF(OR(AND(J80&lt;&gt;"",J80&lt;=30),AND(L80&lt;&gt;"",L80&lt;=1000)),"🟡 Bald fällig","🟢 OK")))</f>
        <v/>
      </c>
      <c r="N80" s="35" t="n"/>
    </row>
    <row r="81">
      <c r="A81" s="29" t="n"/>
      <c r="B81" s="29" t="n"/>
      <c r="C81" s="29" t="n"/>
      <c r="D81" s="29" t="n"/>
      <c r="E81" s="29" t="n"/>
      <c r="F81" s="29" t="n"/>
      <c r="G81" s="29" t="n"/>
      <c r="H81" s="45">
        <f>IFERROR(VLOOKUP(A81,F_Tabelle,10,FALSE),"")</f>
        <v/>
      </c>
      <c r="I81" s="46">
        <f>IF(OR(D81="",F81=""),"",IF(F81=0,"",EDATE(D81,F81)))</f>
        <v/>
      </c>
      <c r="J81" s="47">
        <f>IF(I81="","",I81-TODAY())</f>
        <v/>
      </c>
      <c r="K81" s="45">
        <f>IF(OR(E81="",G81=""),"",IF(G81=0,"",E81+G81))</f>
        <v/>
      </c>
      <c r="L81" s="45">
        <f>IF(OR(K81="",H81=""),"",K81-H81)</f>
        <v/>
      </c>
      <c r="M81" s="47">
        <f>IF(AND(J81="",L81=""),"",IF(OR(AND(J81&lt;&gt;"",J81&lt;0),AND(L81&lt;&gt;"",L81&lt;0)),"🔴 Überfällig",IF(OR(AND(J81&lt;&gt;"",J81&lt;=30),AND(L81&lt;&gt;"",L81&lt;=1000)),"🟡 Bald fällig","🟢 OK")))</f>
        <v/>
      </c>
      <c r="N81" s="37" t="n"/>
    </row>
    <row r="82">
      <c r="A82" s="31" t="n"/>
      <c r="B82" s="31" t="n"/>
      <c r="C82" s="31" t="n"/>
      <c r="D82" s="31" t="n"/>
      <c r="E82" s="31" t="n"/>
      <c r="F82" s="31" t="n"/>
      <c r="G82" s="31" t="n"/>
      <c r="H82" s="45">
        <f>IFERROR(VLOOKUP(A82,F_Tabelle,10,FALSE),"")</f>
        <v/>
      </c>
      <c r="I82" s="46">
        <f>IF(OR(D82="",F82=""),"",IF(F82=0,"",EDATE(D82,F82)))</f>
        <v/>
      </c>
      <c r="J82" s="47">
        <f>IF(I82="","",I82-TODAY())</f>
        <v/>
      </c>
      <c r="K82" s="45">
        <f>IF(OR(E82="",G82=""),"",IF(G82=0,"",E82+G82))</f>
        <v/>
      </c>
      <c r="L82" s="45">
        <f>IF(OR(K82="",H82=""),"",K82-H82)</f>
        <v/>
      </c>
      <c r="M82" s="47">
        <f>IF(AND(J82="",L82=""),"",IF(OR(AND(J82&lt;&gt;"",J82&lt;0),AND(L82&lt;&gt;"",L82&lt;0)),"🔴 Überfällig",IF(OR(AND(J82&lt;&gt;"",J82&lt;=30),AND(L82&lt;&gt;"",L82&lt;=1000)),"🟡 Bald fällig","🟢 OK")))</f>
        <v/>
      </c>
      <c r="N82" s="35" t="n"/>
    </row>
    <row r="83">
      <c r="A83" s="29" t="n"/>
      <c r="B83" s="29" t="n"/>
      <c r="C83" s="29" t="n"/>
      <c r="D83" s="29" t="n"/>
      <c r="E83" s="29" t="n"/>
      <c r="F83" s="29" t="n"/>
      <c r="G83" s="29" t="n"/>
      <c r="H83" s="45">
        <f>IFERROR(VLOOKUP(A83,F_Tabelle,10,FALSE),"")</f>
        <v/>
      </c>
      <c r="I83" s="46">
        <f>IF(OR(D83="",F83=""),"",IF(F83=0,"",EDATE(D83,F83)))</f>
        <v/>
      </c>
      <c r="J83" s="47">
        <f>IF(I83="","",I83-TODAY())</f>
        <v/>
      </c>
      <c r="K83" s="45">
        <f>IF(OR(E83="",G83=""),"",IF(G83=0,"",E83+G83))</f>
        <v/>
      </c>
      <c r="L83" s="45">
        <f>IF(OR(K83="",H83=""),"",K83-H83)</f>
        <v/>
      </c>
      <c r="M83" s="47">
        <f>IF(AND(J83="",L83=""),"",IF(OR(AND(J83&lt;&gt;"",J83&lt;0),AND(L83&lt;&gt;"",L83&lt;0)),"🔴 Überfällig",IF(OR(AND(J83&lt;&gt;"",J83&lt;=30),AND(L83&lt;&gt;"",L83&lt;=1000)),"🟡 Bald fällig","🟢 OK")))</f>
        <v/>
      </c>
      <c r="N83" s="37" t="n"/>
    </row>
    <row r="84">
      <c r="A84" s="31" t="n"/>
      <c r="B84" s="31" t="n"/>
      <c r="C84" s="31" t="n"/>
      <c r="D84" s="31" t="n"/>
      <c r="E84" s="31" t="n"/>
      <c r="F84" s="31" t="n"/>
      <c r="G84" s="31" t="n"/>
      <c r="H84" s="45">
        <f>IFERROR(VLOOKUP(A84,F_Tabelle,10,FALSE),"")</f>
        <v/>
      </c>
      <c r="I84" s="46">
        <f>IF(OR(D84="",F84=""),"",IF(F84=0,"",EDATE(D84,F84)))</f>
        <v/>
      </c>
      <c r="J84" s="47">
        <f>IF(I84="","",I84-TODAY())</f>
        <v/>
      </c>
      <c r="K84" s="45">
        <f>IF(OR(E84="",G84=""),"",IF(G84=0,"",E84+G84))</f>
        <v/>
      </c>
      <c r="L84" s="45">
        <f>IF(OR(K84="",H84=""),"",K84-H84)</f>
        <v/>
      </c>
      <c r="M84" s="47">
        <f>IF(AND(J84="",L84=""),"",IF(OR(AND(J84&lt;&gt;"",J84&lt;0),AND(L84&lt;&gt;"",L84&lt;0)),"🔴 Überfällig",IF(OR(AND(J84&lt;&gt;"",J84&lt;=30),AND(L84&lt;&gt;"",L84&lt;=1000)),"🟡 Bald fällig","🟢 OK")))</f>
        <v/>
      </c>
      <c r="N84" s="35" t="n"/>
    </row>
    <row r="85">
      <c r="A85" s="29" t="n"/>
      <c r="B85" s="29" t="n"/>
      <c r="C85" s="29" t="n"/>
      <c r="D85" s="29" t="n"/>
      <c r="E85" s="29" t="n"/>
      <c r="F85" s="29" t="n"/>
      <c r="G85" s="29" t="n"/>
      <c r="H85" s="45">
        <f>IFERROR(VLOOKUP(A85,F_Tabelle,10,FALSE),"")</f>
        <v/>
      </c>
      <c r="I85" s="46">
        <f>IF(OR(D85="",F85=""),"",IF(F85=0,"",EDATE(D85,F85)))</f>
        <v/>
      </c>
      <c r="J85" s="47">
        <f>IF(I85="","",I85-TODAY())</f>
        <v/>
      </c>
      <c r="K85" s="45">
        <f>IF(OR(E85="",G85=""),"",IF(G85=0,"",E85+G85))</f>
        <v/>
      </c>
      <c r="L85" s="45">
        <f>IF(OR(K85="",H85=""),"",K85-H85)</f>
        <v/>
      </c>
      <c r="M85" s="47">
        <f>IF(AND(J85="",L85=""),"",IF(OR(AND(J85&lt;&gt;"",J85&lt;0),AND(L85&lt;&gt;"",L85&lt;0)),"🔴 Überfällig",IF(OR(AND(J85&lt;&gt;"",J85&lt;=30),AND(L85&lt;&gt;"",L85&lt;=1000)),"🟡 Bald fällig","🟢 OK")))</f>
        <v/>
      </c>
      <c r="N85" s="37" t="n"/>
    </row>
    <row r="86">
      <c r="A86" s="31" t="n"/>
      <c r="B86" s="31" t="n"/>
      <c r="C86" s="31" t="n"/>
      <c r="D86" s="31" t="n"/>
      <c r="E86" s="31" t="n"/>
      <c r="F86" s="31" t="n"/>
      <c r="G86" s="31" t="n"/>
      <c r="H86" s="45">
        <f>IFERROR(VLOOKUP(A86,F_Tabelle,10,FALSE),"")</f>
        <v/>
      </c>
      <c r="I86" s="46">
        <f>IF(OR(D86="",F86=""),"",IF(F86=0,"",EDATE(D86,F86)))</f>
        <v/>
      </c>
      <c r="J86" s="47">
        <f>IF(I86="","",I86-TODAY())</f>
        <v/>
      </c>
      <c r="K86" s="45">
        <f>IF(OR(E86="",G86=""),"",IF(G86=0,"",E86+G86))</f>
        <v/>
      </c>
      <c r="L86" s="45">
        <f>IF(OR(K86="",H86=""),"",K86-H86)</f>
        <v/>
      </c>
      <c r="M86" s="47">
        <f>IF(AND(J86="",L86=""),"",IF(OR(AND(J86&lt;&gt;"",J86&lt;0),AND(L86&lt;&gt;"",L86&lt;0)),"🔴 Überfällig",IF(OR(AND(J86&lt;&gt;"",J86&lt;=30),AND(L86&lt;&gt;"",L86&lt;=1000)),"🟡 Bald fällig","🟢 OK")))</f>
        <v/>
      </c>
      <c r="N86" s="35" t="n"/>
    </row>
    <row r="87">
      <c r="A87" s="29" t="n"/>
      <c r="B87" s="29" t="n"/>
      <c r="C87" s="29" t="n"/>
      <c r="D87" s="29" t="n"/>
      <c r="E87" s="29" t="n"/>
      <c r="F87" s="29" t="n"/>
      <c r="G87" s="29" t="n"/>
      <c r="H87" s="45">
        <f>IFERROR(VLOOKUP(A87,F_Tabelle,10,FALSE),"")</f>
        <v/>
      </c>
      <c r="I87" s="46">
        <f>IF(OR(D87="",F87=""),"",IF(F87=0,"",EDATE(D87,F87)))</f>
        <v/>
      </c>
      <c r="J87" s="47">
        <f>IF(I87="","",I87-TODAY())</f>
        <v/>
      </c>
      <c r="K87" s="45">
        <f>IF(OR(E87="",G87=""),"",IF(G87=0,"",E87+G87))</f>
        <v/>
      </c>
      <c r="L87" s="45">
        <f>IF(OR(K87="",H87=""),"",K87-H87)</f>
        <v/>
      </c>
      <c r="M87" s="47">
        <f>IF(AND(J87="",L87=""),"",IF(OR(AND(J87&lt;&gt;"",J87&lt;0),AND(L87&lt;&gt;"",L87&lt;0)),"🔴 Überfällig",IF(OR(AND(J87&lt;&gt;"",J87&lt;=30),AND(L87&lt;&gt;"",L87&lt;=1000)),"🟡 Bald fällig","🟢 OK")))</f>
        <v/>
      </c>
      <c r="N87" s="37" t="n"/>
    </row>
    <row r="88">
      <c r="A88" s="31" t="n"/>
      <c r="B88" s="31" t="n"/>
      <c r="C88" s="31" t="n"/>
      <c r="D88" s="31" t="n"/>
      <c r="E88" s="31" t="n"/>
      <c r="F88" s="31" t="n"/>
      <c r="G88" s="31" t="n"/>
      <c r="H88" s="45">
        <f>IFERROR(VLOOKUP(A88,F_Tabelle,10,FALSE),"")</f>
        <v/>
      </c>
      <c r="I88" s="46">
        <f>IF(OR(D88="",F88=""),"",IF(F88=0,"",EDATE(D88,F88)))</f>
        <v/>
      </c>
      <c r="J88" s="47">
        <f>IF(I88="","",I88-TODAY())</f>
        <v/>
      </c>
      <c r="K88" s="45">
        <f>IF(OR(E88="",G88=""),"",IF(G88=0,"",E88+G88))</f>
        <v/>
      </c>
      <c r="L88" s="45">
        <f>IF(OR(K88="",H88=""),"",K88-H88)</f>
        <v/>
      </c>
      <c r="M88" s="47">
        <f>IF(AND(J88="",L88=""),"",IF(OR(AND(J88&lt;&gt;"",J88&lt;0),AND(L88&lt;&gt;"",L88&lt;0)),"🔴 Überfällig",IF(OR(AND(J88&lt;&gt;"",J88&lt;=30),AND(L88&lt;&gt;"",L88&lt;=1000)),"🟡 Bald fällig","🟢 OK")))</f>
        <v/>
      </c>
      <c r="N88" s="35" t="n"/>
    </row>
    <row r="89">
      <c r="A89" s="29" t="n"/>
      <c r="B89" s="29" t="n"/>
      <c r="C89" s="29" t="n"/>
      <c r="D89" s="29" t="n"/>
      <c r="E89" s="29" t="n"/>
      <c r="F89" s="29" t="n"/>
      <c r="G89" s="29" t="n"/>
      <c r="H89" s="45">
        <f>IFERROR(VLOOKUP(A89,F_Tabelle,10,FALSE),"")</f>
        <v/>
      </c>
      <c r="I89" s="46">
        <f>IF(OR(D89="",F89=""),"",IF(F89=0,"",EDATE(D89,F89)))</f>
        <v/>
      </c>
      <c r="J89" s="47">
        <f>IF(I89="","",I89-TODAY())</f>
        <v/>
      </c>
      <c r="K89" s="45">
        <f>IF(OR(E89="",G89=""),"",IF(G89=0,"",E89+G89))</f>
        <v/>
      </c>
      <c r="L89" s="45">
        <f>IF(OR(K89="",H89=""),"",K89-H89)</f>
        <v/>
      </c>
      <c r="M89" s="47">
        <f>IF(AND(J89="",L89=""),"",IF(OR(AND(J89&lt;&gt;"",J89&lt;0),AND(L89&lt;&gt;"",L89&lt;0)),"🔴 Überfällig",IF(OR(AND(J89&lt;&gt;"",J89&lt;=30),AND(L89&lt;&gt;"",L89&lt;=1000)),"🟡 Bald fällig","🟢 OK")))</f>
        <v/>
      </c>
      <c r="N89" s="37" t="n"/>
    </row>
    <row r="90">
      <c r="A90" s="31" t="n"/>
      <c r="B90" s="31" t="n"/>
      <c r="C90" s="31" t="n"/>
      <c r="D90" s="31" t="n"/>
      <c r="E90" s="31" t="n"/>
      <c r="F90" s="31" t="n"/>
      <c r="G90" s="31" t="n"/>
      <c r="H90" s="45">
        <f>IFERROR(VLOOKUP(A90,F_Tabelle,10,FALSE),"")</f>
        <v/>
      </c>
      <c r="I90" s="46">
        <f>IF(OR(D90="",F90=""),"",IF(F90=0,"",EDATE(D90,F90)))</f>
        <v/>
      </c>
      <c r="J90" s="47">
        <f>IF(I90="","",I90-TODAY())</f>
        <v/>
      </c>
      <c r="K90" s="45">
        <f>IF(OR(E90="",G90=""),"",IF(G90=0,"",E90+G90))</f>
        <v/>
      </c>
      <c r="L90" s="45">
        <f>IF(OR(K90="",H90=""),"",K90-H90)</f>
        <v/>
      </c>
      <c r="M90" s="47">
        <f>IF(AND(J90="",L90=""),"",IF(OR(AND(J90&lt;&gt;"",J90&lt;0),AND(L90&lt;&gt;"",L90&lt;0)),"🔴 Überfällig",IF(OR(AND(J90&lt;&gt;"",J90&lt;=30),AND(L90&lt;&gt;"",L90&lt;=1000)),"🟡 Bald fällig","🟢 OK")))</f>
        <v/>
      </c>
      <c r="N90" s="35" t="n"/>
    </row>
    <row r="91">
      <c r="A91" s="29" t="n"/>
      <c r="B91" s="29" t="n"/>
      <c r="C91" s="29" t="n"/>
      <c r="D91" s="29" t="n"/>
      <c r="E91" s="29" t="n"/>
      <c r="F91" s="29" t="n"/>
      <c r="G91" s="29" t="n"/>
      <c r="H91" s="45">
        <f>IFERROR(VLOOKUP(A91,F_Tabelle,10,FALSE),"")</f>
        <v/>
      </c>
      <c r="I91" s="46">
        <f>IF(OR(D91="",F91=""),"",IF(F91=0,"",EDATE(D91,F91)))</f>
        <v/>
      </c>
      <c r="J91" s="47">
        <f>IF(I91="","",I91-TODAY())</f>
        <v/>
      </c>
      <c r="K91" s="45">
        <f>IF(OR(E91="",G91=""),"",IF(G91=0,"",E91+G91))</f>
        <v/>
      </c>
      <c r="L91" s="45">
        <f>IF(OR(K91="",H91=""),"",K91-H91)</f>
        <v/>
      </c>
      <c r="M91" s="47">
        <f>IF(AND(J91="",L91=""),"",IF(OR(AND(J91&lt;&gt;"",J91&lt;0),AND(L91&lt;&gt;"",L91&lt;0)),"🔴 Überfällig",IF(OR(AND(J91&lt;&gt;"",J91&lt;=30),AND(L91&lt;&gt;"",L91&lt;=1000)),"🟡 Bald fällig","🟢 OK")))</f>
        <v/>
      </c>
      <c r="N91" s="37" t="n"/>
    </row>
    <row r="92">
      <c r="A92" s="31" t="n"/>
      <c r="B92" s="31" t="n"/>
      <c r="C92" s="31" t="n"/>
      <c r="D92" s="31" t="n"/>
      <c r="E92" s="31" t="n"/>
      <c r="F92" s="31" t="n"/>
      <c r="G92" s="31" t="n"/>
      <c r="H92" s="45">
        <f>IFERROR(VLOOKUP(A92,F_Tabelle,10,FALSE),"")</f>
        <v/>
      </c>
      <c r="I92" s="46">
        <f>IF(OR(D92="",F92=""),"",IF(F92=0,"",EDATE(D92,F92)))</f>
        <v/>
      </c>
      <c r="J92" s="47">
        <f>IF(I92="","",I92-TODAY())</f>
        <v/>
      </c>
      <c r="K92" s="45">
        <f>IF(OR(E92="",G92=""),"",IF(G92=0,"",E92+G92))</f>
        <v/>
      </c>
      <c r="L92" s="45">
        <f>IF(OR(K92="",H92=""),"",K92-H92)</f>
        <v/>
      </c>
      <c r="M92" s="47">
        <f>IF(AND(J92="",L92=""),"",IF(OR(AND(J92&lt;&gt;"",J92&lt;0),AND(L92&lt;&gt;"",L92&lt;0)),"🔴 Überfällig",IF(OR(AND(J92&lt;&gt;"",J92&lt;=30),AND(L92&lt;&gt;"",L92&lt;=1000)),"🟡 Bald fällig","🟢 OK")))</f>
        <v/>
      </c>
      <c r="N92" s="35" t="n"/>
    </row>
    <row r="93">
      <c r="A93" s="29" t="n"/>
      <c r="B93" s="29" t="n"/>
      <c r="C93" s="29" t="n"/>
      <c r="D93" s="29" t="n"/>
      <c r="E93" s="29" t="n"/>
      <c r="F93" s="29" t="n"/>
      <c r="G93" s="29" t="n"/>
      <c r="H93" s="45">
        <f>IFERROR(VLOOKUP(A93,F_Tabelle,10,FALSE),"")</f>
        <v/>
      </c>
      <c r="I93" s="46">
        <f>IF(OR(D93="",F93=""),"",IF(F93=0,"",EDATE(D93,F93)))</f>
        <v/>
      </c>
      <c r="J93" s="47">
        <f>IF(I93="","",I93-TODAY())</f>
        <v/>
      </c>
      <c r="K93" s="45">
        <f>IF(OR(E93="",G93=""),"",IF(G93=0,"",E93+G93))</f>
        <v/>
      </c>
      <c r="L93" s="45">
        <f>IF(OR(K93="",H93=""),"",K93-H93)</f>
        <v/>
      </c>
      <c r="M93" s="47">
        <f>IF(AND(J93="",L93=""),"",IF(OR(AND(J93&lt;&gt;"",J93&lt;0),AND(L93&lt;&gt;"",L93&lt;0)),"🔴 Überfällig",IF(OR(AND(J93&lt;&gt;"",J93&lt;=30),AND(L93&lt;&gt;"",L93&lt;=1000)),"🟡 Bald fällig","🟢 OK")))</f>
        <v/>
      </c>
      <c r="N93" s="37" t="n"/>
    </row>
    <row r="94">
      <c r="A94" s="31" t="n"/>
      <c r="B94" s="31" t="n"/>
      <c r="C94" s="31" t="n"/>
      <c r="D94" s="31" t="n"/>
      <c r="E94" s="31" t="n"/>
      <c r="F94" s="31" t="n"/>
      <c r="G94" s="31" t="n"/>
      <c r="H94" s="45">
        <f>IFERROR(VLOOKUP(A94,F_Tabelle,10,FALSE),"")</f>
        <v/>
      </c>
      <c r="I94" s="46">
        <f>IF(OR(D94="",F94=""),"",IF(F94=0,"",EDATE(D94,F94)))</f>
        <v/>
      </c>
      <c r="J94" s="47">
        <f>IF(I94="","",I94-TODAY())</f>
        <v/>
      </c>
      <c r="K94" s="45">
        <f>IF(OR(E94="",G94=""),"",IF(G94=0,"",E94+G94))</f>
        <v/>
      </c>
      <c r="L94" s="45">
        <f>IF(OR(K94="",H94=""),"",K94-H94)</f>
        <v/>
      </c>
      <c r="M94" s="47">
        <f>IF(AND(J94="",L94=""),"",IF(OR(AND(J94&lt;&gt;"",J94&lt;0),AND(L94&lt;&gt;"",L94&lt;0)),"🔴 Überfällig",IF(OR(AND(J94&lt;&gt;"",J94&lt;=30),AND(L94&lt;&gt;"",L94&lt;=1000)),"🟡 Bald fällig","🟢 OK")))</f>
        <v/>
      </c>
      <c r="N94" s="35" t="n"/>
    </row>
    <row r="95">
      <c r="A95" s="29" t="n"/>
      <c r="B95" s="29" t="n"/>
      <c r="C95" s="29" t="n"/>
      <c r="D95" s="29" t="n"/>
      <c r="E95" s="29" t="n"/>
      <c r="F95" s="29" t="n"/>
      <c r="G95" s="29" t="n"/>
      <c r="H95" s="45">
        <f>IFERROR(VLOOKUP(A95,F_Tabelle,10,FALSE),"")</f>
        <v/>
      </c>
      <c r="I95" s="46">
        <f>IF(OR(D95="",F95=""),"",IF(F95=0,"",EDATE(D95,F95)))</f>
        <v/>
      </c>
      <c r="J95" s="47">
        <f>IF(I95="","",I95-TODAY())</f>
        <v/>
      </c>
      <c r="K95" s="45">
        <f>IF(OR(E95="",G95=""),"",IF(G95=0,"",E95+G95))</f>
        <v/>
      </c>
      <c r="L95" s="45">
        <f>IF(OR(K95="",H95=""),"",K95-H95)</f>
        <v/>
      </c>
      <c r="M95" s="47">
        <f>IF(AND(J95="",L95=""),"",IF(OR(AND(J95&lt;&gt;"",J95&lt;0),AND(L95&lt;&gt;"",L95&lt;0)),"🔴 Überfällig",IF(OR(AND(J95&lt;&gt;"",J95&lt;=30),AND(L95&lt;&gt;"",L95&lt;=1000)),"🟡 Bald fällig","🟢 OK")))</f>
        <v/>
      </c>
      <c r="N95" s="37" t="n"/>
    </row>
    <row r="96">
      <c r="A96" s="31" t="n"/>
      <c r="B96" s="31" t="n"/>
      <c r="C96" s="31" t="n"/>
      <c r="D96" s="31" t="n"/>
      <c r="E96" s="31" t="n"/>
      <c r="F96" s="31" t="n"/>
      <c r="G96" s="31" t="n"/>
      <c r="H96" s="45">
        <f>IFERROR(VLOOKUP(A96,F_Tabelle,10,FALSE),"")</f>
        <v/>
      </c>
      <c r="I96" s="46">
        <f>IF(OR(D96="",F96=""),"",IF(F96=0,"",EDATE(D96,F96)))</f>
        <v/>
      </c>
      <c r="J96" s="47">
        <f>IF(I96="","",I96-TODAY())</f>
        <v/>
      </c>
      <c r="K96" s="45">
        <f>IF(OR(E96="",G96=""),"",IF(G96=0,"",E96+G96))</f>
        <v/>
      </c>
      <c r="L96" s="45">
        <f>IF(OR(K96="",H96=""),"",K96-H96)</f>
        <v/>
      </c>
      <c r="M96" s="47">
        <f>IF(AND(J96="",L96=""),"",IF(OR(AND(J96&lt;&gt;"",J96&lt;0),AND(L96&lt;&gt;"",L96&lt;0)),"🔴 Überfällig",IF(OR(AND(J96&lt;&gt;"",J96&lt;=30),AND(L96&lt;&gt;"",L96&lt;=1000)),"🟡 Bald fällig","🟢 OK")))</f>
        <v/>
      </c>
      <c r="N96" s="35" t="n"/>
    </row>
    <row r="97">
      <c r="A97" s="29" t="n"/>
      <c r="B97" s="29" t="n"/>
      <c r="C97" s="29" t="n"/>
      <c r="D97" s="29" t="n"/>
      <c r="E97" s="29" t="n"/>
      <c r="F97" s="29" t="n"/>
      <c r="G97" s="29" t="n"/>
      <c r="H97" s="45">
        <f>IFERROR(VLOOKUP(A97,F_Tabelle,10,FALSE),"")</f>
        <v/>
      </c>
      <c r="I97" s="46">
        <f>IF(OR(D97="",F97=""),"",IF(F97=0,"",EDATE(D97,F97)))</f>
        <v/>
      </c>
      <c r="J97" s="47">
        <f>IF(I97="","",I97-TODAY())</f>
        <v/>
      </c>
      <c r="K97" s="45">
        <f>IF(OR(E97="",G97=""),"",IF(G97=0,"",E97+G97))</f>
        <v/>
      </c>
      <c r="L97" s="45">
        <f>IF(OR(K97="",H97=""),"",K97-H97)</f>
        <v/>
      </c>
      <c r="M97" s="47">
        <f>IF(AND(J97="",L97=""),"",IF(OR(AND(J97&lt;&gt;"",J97&lt;0),AND(L97&lt;&gt;"",L97&lt;0)),"🔴 Überfällig",IF(OR(AND(J97&lt;&gt;"",J97&lt;=30),AND(L97&lt;&gt;"",L97&lt;=1000)),"🟡 Bald fällig","🟢 OK")))</f>
        <v/>
      </c>
      <c r="N97" s="37" t="n"/>
    </row>
    <row r="98">
      <c r="A98" s="31" t="n"/>
      <c r="B98" s="31" t="n"/>
      <c r="C98" s="31" t="n"/>
      <c r="D98" s="31" t="n"/>
      <c r="E98" s="31" t="n"/>
      <c r="F98" s="31" t="n"/>
      <c r="G98" s="31" t="n"/>
      <c r="H98" s="45">
        <f>IFERROR(VLOOKUP(A98,F_Tabelle,10,FALSE),"")</f>
        <v/>
      </c>
      <c r="I98" s="46">
        <f>IF(OR(D98="",F98=""),"",IF(F98=0,"",EDATE(D98,F98)))</f>
        <v/>
      </c>
      <c r="J98" s="47">
        <f>IF(I98="","",I98-TODAY())</f>
        <v/>
      </c>
      <c r="K98" s="45">
        <f>IF(OR(E98="",G98=""),"",IF(G98=0,"",E98+G98))</f>
        <v/>
      </c>
      <c r="L98" s="45">
        <f>IF(OR(K98="",H98=""),"",K98-H98)</f>
        <v/>
      </c>
      <c r="M98" s="47">
        <f>IF(AND(J98="",L98=""),"",IF(OR(AND(J98&lt;&gt;"",J98&lt;0),AND(L98&lt;&gt;"",L98&lt;0)),"🔴 Überfällig",IF(OR(AND(J98&lt;&gt;"",J98&lt;=30),AND(L98&lt;&gt;"",L98&lt;=1000)),"🟡 Bald fällig","🟢 OK")))</f>
        <v/>
      </c>
      <c r="N98" s="35" t="n"/>
    </row>
    <row r="99">
      <c r="A99" s="29" t="n"/>
      <c r="B99" s="29" t="n"/>
      <c r="C99" s="29" t="n"/>
      <c r="D99" s="29" t="n"/>
      <c r="E99" s="29" t="n"/>
      <c r="F99" s="29" t="n"/>
      <c r="G99" s="29" t="n"/>
      <c r="H99" s="45">
        <f>IFERROR(VLOOKUP(A99,F_Tabelle,10,FALSE),"")</f>
        <v/>
      </c>
      <c r="I99" s="46">
        <f>IF(OR(D99="",F99=""),"",IF(F99=0,"",EDATE(D99,F99)))</f>
        <v/>
      </c>
      <c r="J99" s="47">
        <f>IF(I99="","",I99-TODAY())</f>
        <v/>
      </c>
      <c r="K99" s="45">
        <f>IF(OR(E99="",G99=""),"",IF(G99=0,"",E99+G99))</f>
        <v/>
      </c>
      <c r="L99" s="45">
        <f>IF(OR(K99="",H99=""),"",K99-H99)</f>
        <v/>
      </c>
      <c r="M99" s="47">
        <f>IF(AND(J99="",L99=""),"",IF(OR(AND(J99&lt;&gt;"",J99&lt;0),AND(L99&lt;&gt;"",L99&lt;0)),"🔴 Überfällig",IF(OR(AND(J99&lt;&gt;"",J99&lt;=30),AND(L99&lt;&gt;"",L99&lt;=1000)),"🟡 Bald fällig","🟢 OK")))</f>
        <v/>
      </c>
      <c r="N99" s="37" t="n"/>
    </row>
    <row r="100">
      <c r="A100" s="31" t="n"/>
      <c r="B100" s="31" t="n"/>
      <c r="C100" s="31" t="n"/>
      <c r="D100" s="31" t="n"/>
      <c r="E100" s="31" t="n"/>
      <c r="F100" s="31" t="n"/>
      <c r="G100" s="31" t="n"/>
      <c r="H100" s="45">
        <f>IFERROR(VLOOKUP(A100,F_Tabelle,10,FALSE),"")</f>
        <v/>
      </c>
      <c r="I100" s="46">
        <f>IF(OR(D100="",F100=""),"",IF(F100=0,"",EDATE(D100,F100)))</f>
        <v/>
      </c>
      <c r="J100" s="47">
        <f>IF(I100="","",I100-TODAY())</f>
        <v/>
      </c>
      <c r="K100" s="45">
        <f>IF(OR(E100="",G100=""),"",IF(G100=0,"",E100+G100))</f>
        <v/>
      </c>
      <c r="L100" s="45">
        <f>IF(OR(K100="",H100=""),"",K100-H100)</f>
        <v/>
      </c>
      <c r="M100" s="47">
        <f>IF(AND(J100="",L100=""),"",IF(OR(AND(J100&lt;&gt;"",J100&lt;0),AND(L100&lt;&gt;"",L100&lt;0)),"🔴 Überfällig",IF(OR(AND(J100&lt;&gt;"",J100&lt;=30),AND(L100&lt;&gt;"",L100&lt;=1000)),"🟡 Bald fällig","🟢 OK")))</f>
        <v/>
      </c>
      <c r="N100" s="35" t="n"/>
    </row>
    <row r="101">
      <c r="A101" s="29" t="n"/>
      <c r="B101" s="29" t="n"/>
      <c r="C101" s="29" t="n"/>
      <c r="D101" s="29" t="n"/>
      <c r="E101" s="29" t="n"/>
      <c r="F101" s="29" t="n"/>
      <c r="G101" s="29" t="n"/>
      <c r="H101" s="45">
        <f>IFERROR(VLOOKUP(A101,F_Tabelle,10,FALSE),"")</f>
        <v/>
      </c>
      <c r="I101" s="46">
        <f>IF(OR(D101="",F101=""),"",IF(F101=0,"",EDATE(D101,F101)))</f>
        <v/>
      </c>
      <c r="J101" s="47">
        <f>IF(I101="","",I101-TODAY())</f>
        <v/>
      </c>
      <c r="K101" s="45">
        <f>IF(OR(E101="",G101=""),"",IF(G101=0,"",E101+G101))</f>
        <v/>
      </c>
      <c r="L101" s="45">
        <f>IF(OR(K101="",H101=""),"",K101-H101)</f>
        <v/>
      </c>
      <c r="M101" s="47">
        <f>IF(AND(J101="",L101=""),"",IF(OR(AND(J101&lt;&gt;"",J101&lt;0),AND(L101&lt;&gt;"",L101&lt;0)),"🔴 Überfällig",IF(OR(AND(J101&lt;&gt;"",J101&lt;=30),AND(L101&lt;&gt;"",L101&lt;=1000)),"🟡 Bald fällig","🟢 OK")))</f>
        <v/>
      </c>
      <c r="N101" s="37" t="n"/>
    </row>
    <row r="102">
      <c r="A102" s="31" t="n"/>
      <c r="B102" s="31" t="n"/>
      <c r="C102" s="31" t="n"/>
      <c r="D102" s="31" t="n"/>
      <c r="E102" s="31" t="n"/>
      <c r="F102" s="31" t="n"/>
      <c r="G102" s="31" t="n"/>
      <c r="H102" s="45">
        <f>IFERROR(VLOOKUP(A102,F_Tabelle,10,FALSE),"")</f>
        <v/>
      </c>
      <c r="I102" s="46">
        <f>IF(OR(D102="",F102=""),"",IF(F102=0,"",EDATE(D102,F102)))</f>
        <v/>
      </c>
      <c r="J102" s="47">
        <f>IF(I102="","",I102-TODAY())</f>
        <v/>
      </c>
      <c r="K102" s="45">
        <f>IF(OR(E102="",G102=""),"",IF(G102=0,"",E102+G102))</f>
        <v/>
      </c>
      <c r="L102" s="45">
        <f>IF(OR(K102="",H102=""),"",K102-H102)</f>
        <v/>
      </c>
      <c r="M102" s="47">
        <f>IF(AND(J102="",L102=""),"",IF(OR(AND(J102&lt;&gt;"",J102&lt;0),AND(L102&lt;&gt;"",L102&lt;0)),"🔴 Überfällig",IF(OR(AND(J102&lt;&gt;"",J102&lt;=30),AND(L102&lt;&gt;"",L102&lt;=1000)),"🟡 Bald fällig","🟢 OK")))</f>
        <v/>
      </c>
      <c r="N102" s="35" t="n"/>
    </row>
    <row r="103">
      <c r="A103" s="29" t="n"/>
      <c r="B103" s="29" t="n"/>
      <c r="C103" s="29" t="n"/>
      <c r="D103" s="29" t="n"/>
      <c r="E103" s="29" t="n"/>
      <c r="F103" s="29" t="n"/>
      <c r="G103" s="29" t="n"/>
      <c r="H103" s="45">
        <f>IFERROR(VLOOKUP(A103,F_Tabelle,10,FALSE),"")</f>
        <v/>
      </c>
      <c r="I103" s="46">
        <f>IF(OR(D103="",F103=""),"",IF(F103=0,"",EDATE(D103,F103)))</f>
        <v/>
      </c>
      <c r="J103" s="47">
        <f>IF(I103="","",I103-TODAY())</f>
        <v/>
      </c>
      <c r="K103" s="45">
        <f>IF(OR(E103="",G103=""),"",IF(G103=0,"",E103+G103))</f>
        <v/>
      </c>
      <c r="L103" s="45">
        <f>IF(OR(K103="",H103=""),"",K103-H103)</f>
        <v/>
      </c>
      <c r="M103" s="47">
        <f>IF(AND(J103="",L103=""),"",IF(OR(AND(J103&lt;&gt;"",J103&lt;0),AND(L103&lt;&gt;"",L103&lt;0)),"🔴 Überfällig",IF(OR(AND(J103&lt;&gt;"",J103&lt;=30),AND(L103&lt;&gt;"",L103&lt;=1000)),"🟡 Bald fällig","🟢 OK")))</f>
        <v/>
      </c>
      <c r="N103" s="37" t="n"/>
    </row>
    <row r="104">
      <c r="A104" s="31" t="n"/>
      <c r="B104" s="31" t="n"/>
      <c r="C104" s="31" t="n"/>
      <c r="D104" s="31" t="n"/>
      <c r="E104" s="31" t="n"/>
      <c r="F104" s="31" t="n"/>
      <c r="G104" s="31" t="n"/>
      <c r="H104" s="45">
        <f>IFERROR(VLOOKUP(A104,F_Tabelle,10,FALSE),"")</f>
        <v/>
      </c>
      <c r="I104" s="46">
        <f>IF(OR(D104="",F104=""),"",IF(F104=0,"",EDATE(D104,F104)))</f>
        <v/>
      </c>
      <c r="J104" s="47">
        <f>IF(I104="","",I104-TODAY())</f>
        <v/>
      </c>
      <c r="K104" s="45">
        <f>IF(OR(E104="",G104=""),"",IF(G104=0,"",E104+G104))</f>
        <v/>
      </c>
      <c r="L104" s="45">
        <f>IF(OR(K104="",H104=""),"",K104-H104)</f>
        <v/>
      </c>
      <c r="M104" s="47">
        <f>IF(AND(J104="",L104=""),"",IF(OR(AND(J104&lt;&gt;"",J104&lt;0),AND(L104&lt;&gt;"",L104&lt;0)),"🔴 Überfällig",IF(OR(AND(J104&lt;&gt;"",J104&lt;=30),AND(L104&lt;&gt;"",L104&lt;=1000)),"🟡 Bald fällig","🟢 OK")))</f>
        <v/>
      </c>
      <c r="N104" s="35" t="n"/>
    </row>
    <row r="105">
      <c r="A105" s="29" t="n"/>
      <c r="B105" s="29" t="n"/>
      <c r="C105" s="29" t="n"/>
      <c r="D105" s="29" t="n"/>
      <c r="E105" s="29" t="n"/>
      <c r="F105" s="29" t="n"/>
      <c r="G105" s="29" t="n"/>
      <c r="H105" s="45">
        <f>IFERROR(VLOOKUP(A105,F_Tabelle,10,FALSE),"")</f>
        <v/>
      </c>
      <c r="I105" s="46">
        <f>IF(OR(D105="",F105=""),"",IF(F105=0,"",EDATE(D105,F105)))</f>
        <v/>
      </c>
      <c r="J105" s="47">
        <f>IF(I105="","",I105-TODAY())</f>
        <v/>
      </c>
      <c r="K105" s="45">
        <f>IF(OR(E105="",G105=""),"",IF(G105=0,"",E105+G105))</f>
        <v/>
      </c>
      <c r="L105" s="45">
        <f>IF(OR(K105="",H105=""),"",K105-H105)</f>
        <v/>
      </c>
      <c r="M105" s="47">
        <f>IF(AND(J105="",L105=""),"",IF(OR(AND(J105&lt;&gt;"",J105&lt;0),AND(L105&lt;&gt;"",L105&lt;0)),"🔴 Überfällig",IF(OR(AND(J105&lt;&gt;"",J105&lt;=30),AND(L105&lt;&gt;"",L105&lt;=1000)),"🟡 Bald fällig","🟢 OK")))</f>
        <v/>
      </c>
      <c r="N105" s="37" t="n"/>
    </row>
    <row r="106">
      <c r="A106" s="31" t="n"/>
      <c r="B106" s="31" t="n"/>
      <c r="C106" s="31" t="n"/>
      <c r="D106" s="31" t="n"/>
      <c r="E106" s="31" t="n"/>
      <c r="F106" s="31" t="n"/>
      <c r="G106" s="31" t="n"/>
      <c r="H106" s="45">
        <f>IFERROR(VLOOKUP(A106,F_Tabelle,10,FALSE),"")</f>
        <v/>
      </c>
      <c r="I106" s="46">
        <f>IF(OR(D106="",F106=""),"",IF(F106=0,"",EDATE(D106,F106)))</f>
        <v/>
      </c>
      <c r="J106" s="47">
        <f>IF(I106="","",I106-TODAY())</f>
        <v/>
      </c>
      <c r="K106" s="45">
        <f>IF(OR(E106="",G106=""),"",IF(G106=0,"",E106+G106))</f>
        <v/>
      </c>
      <c r="L106" s="45">
        <f>IF(OR(K106="",H106=""),"",K106-H106)</f>
        <v/>
      </c>
      <c r="M106" s="47">
        <f>IF(AND(J106="",L106=""),"",IF(OR(AND(J106&lt;&gt;"",J106&lt;0),AND(L106&lt;&gt;"",L106&lt;0)),"🔴 Überfällig",IF(OR(AND(J106&lt;&gt;"",J106&lt;=30),AND(L106&lt;&gt;"",L106&lt;=1000)),"🟡 Bald fällig","🟢 OK")))</f>
        <v/>
      </c>
      <c r="N106" s="35" t="n"/>
    </row>
    <row r="107">
      <c r="A107" s="29" t="n"/>
      <c r="B107" s="29" t="n"/>
      <c r="C107" s="29" t="n"/>
      <c r="D107" s="29" t="n"/>
      <c r="E107" s="29" t="n"/>
      <c r="F107" s="29" t="n"/>
      <c r="G107" s="29" t="n"/>
      <c r="H107" s="45">
        <f>IFERROR(VLOOKUP(A107,F_Tabelle,10,FALSE),"")</f>
        <v/>
      </c>
      <c r="I107" s="46">
        <f>IF(OR(D107="",F107=""),"",IF(F107=0,"",EDATE(D107,F107)))</f>
        <v/>
      </c>
      <c r="J107" s="47">
        <f>IF(I107="","",I107-TODAY())</f>
        <v/>
      </c>
      <c r="K107" s="45">
        <f>IF(OR(E107="",G107=""),"",IF(G107=0,"",E107+G107))</f>
        <v/>
      </c>
      <c r="L107" s="45">
        <f>IF(OR(K107="",H107=""),"",K107-H107)</f>
        <v/>
      </c>
      <c r="M107" s="47">
        <f>IF(AND(J107="",L107=""),"",IF(OR(AND(J107&lt;&gt;"",J107&lt;0),AND(L107&lt;&gt;"",L107&lt;0)),"🔴 Überfällig",IF(OR(AND(J107&lt;&gt;"",J107&lt;=30),AND(L107&lt;&gt;"",L107&lt;=1000)),"🟡 Bald fällig","🟢 OK")))</f>
        <v/>
      </c>
      <c r="N107" s="37" t="n"/>
    </row>
    <row r="108">
      <c r="A108" s="31" t="n"/>
      <c r="B108" s="31" t="n"/>
      <c r="C108" s="31" t="n"/>
      <c r="D108" s="31" t="n"/>
      <c r="E108" s="31" t="n"/>
      <c r="F108" s="31" t="n"/>
      <c r="G108" s="31" t="n"/>
      <c r="H108" s="45">
        <f>IFERROR(VLOOKUP(A108,F_Tabelle,10,FALSE),"")</f>
        <v/>
      </c>
      <c r="I108" s="46">
        <f>IF(OR(D108="",F108=""),"",IF(F108=0,"",EDATE(D108,F108)))</f>
        <v/>
      </c>
      <c r="J108" s="47">
        <f>IF(I108="","",I108-TODAY())</f>
        <v/>
      </c>
      <c r="K108" s="45">
        <f>IF(OR(E108="",G108=""),"",IF(G108=0,"",E108+G108))</f>
        <v/>
      </c>
      <c r="L108" s="45">
        <f>IF(OR(K108="",H108=""),"",K108-H108)</f>
        <v/>
      </c>
      <c r="M108" s="47">
        <f>IF(AND(J108="",L108=""),"",IF(OR(AND(J108&lt;&gt;"",J108&lt;0),AND(L108&lt;&gt;"",L108&lt;0)),"🔴 Überfällig",IF(OR(AND(J108&lt;&gt;"",J108&lt;=30),AND(L108&lt;&gt;"",L108&lt;=1000)),"🟡 Bald fällig","🟢 OK")))</f>
        <v/>
      </c>
      <c r="N108" s="35" t="n"/>
    </row>
    <row r="109">
      <c r="A109" s="29" t="n"/>
      <c r="B109" s="29" t="n"/>
      <c r="C109" s="29" t="n"/>
      <c r="D109" s="29" t="n"/>
      <c r="E109" s="29" t="n"/>
      <c r="F109" s="29" t="n"/>
      <c r="G109" s="29" t="n"/>
      <c r="H109" s="45">
        <f>IFERROR(VLOOKUP(A109,F_Tabelle,10,FALSE),"")</f>
        <v/>
      </c>
      <c r="I109" s="46">
        <f>IF(OR(D109="",F109=""),"",IF(F109=0,"",EDATE(D109,F109)))</f>
        <v/>
      </c>
      <c r="J109" s="47">
        <f>IF(I109="","",I109-TODAY())</f>
        <v/>
      </c>
      <c r="K109" s="45">
        <f>IF(OR(E109="",G109=""),"",IF(G109=0,"",E109+G109))</f>
        <v/>
      </c>
      <c r="L109" s="45">
        <f>IF(OR(K109="",H109=""),"",K109-H109)</f>
        <v/>
      </c>
      <c r="M109" s="47">
        <f>IF(AND(J109="",L109=""),"",IF(OR(AND(J109&lt;&gt;"",J109&lt;0),AND(L109&lt;&gt;"",L109&lt;0)),"🔴 Überfällig",IF(OR(AND(J109&lt;&gt;"",J109&lt;=30),AND(L109&lt;&gt;"",L109&lt;=1000)),"🟡 Bald fällig","🟢 OK")))</f>
        <v/>
      </c>
      <c r="N109" s="37" t="n"/>
    </row>
    <row r="110">
      <c r="A110" s="31" t="n"/>
      <c r="B110" s="31" t="n"/>
      <c r="C110" s="31" t="n"/>
      <c r="D110" s="31" t="n"/>
      <c r="E110" s="31" t="n"/>
      <c r="F110" s="31" t="n"/>
      <c r="G110" s="31" t="n"/>
      <c r="H110" s="45">
        <f>IFERROR(VLOOKUP(A110,F_Tabelle,10,FALSE),"")</f>
        <v/>
      </c>
      <c r="I110" s="46">
        <f>IF(OR(D110="",F110=""),"",IF(F110=0,"",EDATE(D110,F110)))</f>
        <v/>
      </c>
      <c r="J110" s="47">
        <f>IF(I110="","",I110-TODAY())</f>
        <v/>
      </c>
      <c r="K110" s="45">
        <f>IF(OR(E110="",G110=""),"",IF(G110=0,"",E110+G110))</f>
        <v/>
      </c>
      <c r="L110" s="45">
        <f>IF(OR(K110="",H110=""),"",K110-H110)</f>
        <v/>
      </c>
      <c r="M110" s="47">
        <f>IF(AND(J110="",L110=""),"",IF(OR(AND(J110&lt;&gt;"",J110&lt;0),AND(L110&lt;&gt;"",L110&lt;0)),"🔴 Überfällig",IF(OR(AND(J110&lt;&gt;"",J110&lt;=30),AND(L110&lt;&gt;"",L110&lt;=1000)),"🟡 Bald fällig","🟢 OK")))</f>
        <v/>
      </c>
      <c r="N110" s="35" t="n"/>
    </row>
    <row r="111">
      <c r="A111" s="29" t="n"/>
      <c r="B111" s="29" t="n"/>
      <c r="C111" s="29" t="n"/>
      <c r="D111" s="29" t="n"/>
      <c r="E111" s="29" t="n"/>
      <c r="F111" s="29" t="n"/>
      <c r="G111" s="29" t="n"/>
      <c r="H111" s="45">
        <f>IFERROR(VLOOKUP(A111,F_Tabelle,10,FALSE),"")</f>
        <v/>
      </c>
      <c r="I111" s="46">
        <f>IF(OR(D111="",F111=""),"",IF(F111=0,"",EDATE(D111,F111)))</f>
        <v/>
      </c>
      <c r="J111" s="47">
        <f>IF(I111="","",I111-TODAY())</f>
        <v/>
      </c>
      <c r="K111" s="45">
        <f>IF(OR(E111="",G111=""),"",IF(G111=0,"",E111+G111))</f>
        <v/>
      </c>
      <c r="L111" s="45">
        <f>IF(OR(K111="",H111=""),"",K111-H111)</f>
        <v/>
      </c>
      <c r="M111" s="47">
        <f>IF(AND(J111="",L111=""),"",IF(OR(AND(J111&lt;&gt;"",J111&lt;0),AND(L111&lt;&gt;"",L111&lt;0)),"🔴 Überfällig",IF(OR(AND(J111&lt;&gt;"",J111&lt;=30),AND(L111&lt;&gt;"",L111&lt;=1000)),"🟡 Bald fällig","🟢 OK")))</f>
        <v/>
      </c>
      <c r="N111" s="37" t="n"/>
    </row>
    <row r="112">
      <c r="A112" s="31" t="n"/>
      <c r="B112" s="31" t="n"/>
      <c r="C112" s="31" t="n"/>
      <c r="D112" s="31" t="n"/>
      <c r="E112" s="31" t="n"/>
      <c r="F112" s="31" t="n"/>
      <c r="G112" s="31" t="n"/>
      <c r="H112" s="45">
        <f>IFERROR(VLOOKUP(A112,F_Tabelle,10,FALSE),"")</f>
        <v/>
      </c>
      <c r="I112" s="46">
        <f>IF(OR(D112="",F112=""),"",IF(F112=0,"",EDATE(D112,F112)))</f>
        <v/>
      </c>
      <c r="J112" s="47">
        <f>IF(I112="","",I112-TODAY())</f>
        <v/>
      </c>
      <c r="K112" s="45">
        <f>IF(OR(E112="",G112=""),"",IF(G112=0,"",E112+G112))</f>
        <v/>
      </c>
      <c r="L112" s="45">
        <f>IF(OR(K112="",H112=""),"",K112-H112)</f>
        <v/>
      </c>
      <c r="M112" s="47">
        <f>IF(AND(J112="",L112=""),"",IF(OR(AND(J112&lt;&gt;"",J112&lt;0),AND(L112&lt;&gt;"",L112&lt;0)),"🔴 Überfällig",IF(OR(AND(J112&lt;&gt;"",J112&lt;=30),AND(L112&lt;&gt;"",L112&lt;=1000)),"🟡 Bald fällig","🟢 OK")))</f>
        <v/>
      </c>
      <c r="N112" s="35" t="n"/>
    </row>
    <row r="113">
      <c r="A113" s="29" t="n"/>
      <c r="B113" s="29" t="n"/>
      <c r="C113" s="29" t="n"/>
      <c r="D113" s="29" t="n"/>
      <c r="E113" s="29" t="n"/>
      <c r="F113" s="29" t="n"/>
      <c r="G113" s="29" t="n"/>
      <c r="H113" s="45">
        <f>IFERROR(VLOOKUP(A113,F_Tabelle,10,FALSE),"")</f>
        <v/>
      </c>
      <c r="I113" s="46">
        <f>IF(OR(D113="",F113=""),"",IF(F113=0,"",EDATE(D113,F113)))</f>
        <v/>
      </c>
      <c r="J113" s="47">
        <f>IF(I113="","",I113-TODAY())</f>
        <v/>
      </c>
      <c r="K113" s="45">
        <f>IF(OR(E113="",G113=""),"",IF(G113=0,"",E113+G113))</f>
        <v/>
      </c>
      <c r="L113" s="45">
        <f>IF(OR(K113="",H113=""),"",K113-H113)</f>
        <v/>
      </c>
      <c r="M113" s="47">
        <f>IF(AND(J113="",L113=""),"",IF(OR(AND(J113&lt;&gt;"",J113&lt;0),AND(L113&lt;&gt;"",L113&lt;0)),"🔴 Überfällig",IF(OR(AND(J113&lt;&gt;"",J113&lt;=30),AND(L113&lt;&gt;"",L113&lt;=1000)),"🟡 Bald fällig","🟢 OK")))</f>
        <v/>
      </c>
      <c r="N113" s="37" t="n"/>
    </row>
    <row r="114">
      <c r="A114" s="31" t="n"/>
      <c r="B114" s="31" t="n"/>
      <c r="C114" s="31" t="n"/>
      <c r="D114" s="31" t="n"/>
      <c r="E114" s="31" t="n"/>
      <c r="F114" s="31" t="n"/>
      <c r="G114" s="31" t="n"/>
      <c r="H114" s="45">
        <f>IFERROR(VLOOKUP(A114,F_Tabelle,10,FALSE),"")</f>
        <v/>
      </c>
      <c r="I114" s="46">
        <f>IF(OR(D114="",F114=""),"",IF(F114=0,"",EDATE(D114,F114)))</f>
        <v/>
      </c>
      <c r="J114" s="47">
        <f>IF(I114="","",I114-TODAY())</f>
        <v/>
      </c>
      <c r="K114" s="45">
        <f>IF(OR(E114="",G114=""),"",IF(G114=0,"",E114+G114))</f>
        <v/>
      </c>
      <c r="L114" s="45">
        <f>IF(OR(K114="",H114=""),"",K114-H114)</f>
        <v/>
      </c>
      <c r="M114" s="47">
        <f>IF(AND(J114="",L114=""),"",IF(OR(AND(J114&lt;&gt;"",J114&lt;0),AND(L114&lt;&gt;"",L114&lt;0)),"🔴 Überfällig",IF(OR(AND(J114&lt;&gt;"",J114&lt;=30),AND(L114&lt;&gt;"",L114&lt;=1000)),"🟡 Bald fällig","🟢 OK")))</f>
        <v/>
      </c>
      <c r="N114" s="35" t="n"/>
    </row>
    <row r="115">
      <c r="A115" s="29" t="n"/>
      <c r="B115" s="29" t="n"/>
      <c r="C115" s="29" t="n"/>
      <c r="D115" s="29" t="n"/>
      <c r="E115" s="29" t="n"/>
      <c r="F115" s="29" t="n"/>
      <c r="G115" s="29" t="n"/>
      <c r="H115" s="45">
        <f>IFERROR(VLOOKUP(A115,F_Tabelle,10,FALSE),"")</f>
        <v/>
      </c>
      <c r="I115" s="46">
        <f>IF(OR(D115="",F115=""),"",IF(F115=0,"",EDATE(D115,F115)))</f>
        <v/>
      </c>
      <c r="J115" s="47">
        <f>IF(I115="","",I115-TODAY())</f>
        <v/>
      </c>
      <c r="K115" s="45">
        <f>IF(OR(E115="",G115=""),"",IF(G115=0,"",E115+G115))</f>
        <v/>
      </c>
      <c r="L115" s="45">
        <f>IF(OR(K115="",H115=""),"",K115-H115)</f>
        <v/>
      </c>
      <c r="M115" s="47">
        <f>IF(AND(J115="",L115=""),"",IF(OR(AND(J115&lt;&gt;"",J115&lt;0),AND(L115&lt;&gt;"",L115&lt;0)),"🔴 Überfällig",IF(OR(AND(J115&lt;&gt;"",J115&lt;=30),AND(L115&lt;&gt;"",L115&lt;=1000)),"🟡 Bald fällig","🟢 OK")))</f>
        <v/>
      </c>
      <c r="N115" s="37" t="n"/>
    </row>
    <row r="116">
      <c r="A116" s="31" t="n"/>
      <c r="B116" s="31" t="n"/>
      <c r="C116" s="31" t="n"/>
      <c r="D116" s="31" t="n"/>
      <c r="E116" s="31" t="n"/>
      <c r="F116" s="31" t="n"/>
      <c r="G116" s="31" t="n"/>
      <c r="H116" s="45">
        <f>IFERROR(VLOOKUP(A116,F_Tabelle,10,FALSE),"")</f>
        <v/>
      </c>
      <c r="I116" s="46">
        <f>IF(OR(D116="",F116=""),"",IF(F116=0,"",EDATE(D116,F116)))</f>
        <v/>
      </c>
      <c r="J116" s="47">
        <f>IF(I116="","",I116-TODAY())</f>
        <v/>
      </c>
      <c r="K116" s="45">
        <f>IF(OR(E116="",G116=""),"",IF(G116=0,"",E116+G116))</f>
        <v/>
      </c>
      <c r="L116" s="45">
        <f>IF(OR(K116="",H116=""),"",K116-H116)</f>
        <v/>
      </c>
      <c r="M116" s="47">
        <f>IF(AND(J116="",L116=""),"",IF(OR(AND(J116&lt;&gt;"",J116&lt;0),AND(L116&lt;&gt;"",L116&lt;0)),"🔴 Überfällig",IF(OR(AND(J116&lt;&gt;"",J116&lt;=30),AND(L116&lt;&gt;"",L116&lt;=1000)),"🟡 Bald fällig","🟢 OK")))</f>
        <v/>
      </c>
      <c r="N116" s="35" t="n"/>
    </row>
    <row r="117">
      <c r="A117" s="29" t="n"/>
      <c r="B117" s="29" t="n"/>
      <c r="C117" s="29" t="n"/>
      <c r="D117" s="29" t="n"/>
      <c r="E117" s="29" t="n"/>
      <c r="F117" s="29" t="n"/>
      <c r="G117" s="29" t="n"/>
      <c r="H117" s="45">
        <f>IFERROR(VLOOKUP(A117,F_Tabelle,10,FALSE),"")</f>
        <v/>
      </c>
      <c r="I117" s="46">
        <f>IF(OR(D117="",F117=""),"",IF(F117=0,"",EDATE(D117,F117)))</f>
        <v/>
      </c>
      <c r="J117" s="47">
        <f>IF(I117="","",I117-TODAY())</f>
        <v/>
      </c>
      <c r="K117" s="45">
        <f>IF(OR(E117="",G117=""),"",IF(G117=0,"",E117+G117))</f>
        <v/>
      </c>
      <c r="L117" s="45">
        <f>IF(OR(K117="",H117=""),"",K117-H117)</f>
        <v/>
      </c>
      <c r="M117" s="47">
        <f>IF(AND(J117="",L117=""),"",IF(OR(AND(J117&lt;&gt;"",J117&lt;0),AND(L117&lt;&gt;"",L117&lt;0)),"🔴 Überfällig",IF(OR(AND(J117&lt;&gt;"",J117&lt;=30),AND(L117&lt;&gt;"",L117&lt;=1000)),"🟡 Bald fällig","🟢 OK")))</f>
        <v/>
      </c>
      <c r="N117" s="37" t="n"/>
    </row>
    <row r="118">
      <c r="A118" s="31" t="n"/>
      <c r="B118" s="31" t="n"/>
      <c r="C118" s="31" t="n"/>
      <c r="D118" s="31" t="n"/>
      <c r="E118" s="31" t="n"/>
      <c r="F118" s="31" t="n"/>
      <c r="G118" s="31" t="n"/>
      <c r="H118" s="45">
        <f>IFERROR(VLOOKUP(A118,F_Tabelle,10,FALSE),"")</f>
        <v/>
      </c>
      <c r="I118" s="46">
        <f>IF(OR(D118="",F118=""),"",IF(F118=0,"",EDATE(D118,F118)))</f>
        <v/>
      </c>
      <c r="J118" s="47">
        <f>IF(I118="","",I118-TODAY())</f>
        <v/>
      </c>
      <c r="K118" s="45">
        <f>IF(OR(E118="",G118=""),"",IF(G118=0,"",E118+G118))</f>
        <v/>
      </c>
      <c r="L118" s="45">
        <f>IF(OR(K118="",H118=""),"",K118-H118)</f>
        <v/>
      </c>
      <c r="M118" s="47">
        <f>IF(AND(J118="",L118=""),"",IF(OR(AND(J118&lt;&gt;"",J118&lt;0),AND(L118&lt;&gt;"",L118&lt;0)),"🔴 Überfällig",IF(OR(AND(J118&lt;&gt;"",J118&lt;=30),AND(L118&lt;&gt;"",L118&lt;=1000)),"🟡 Bald fällig","🟢 OK")))</f>
        <v/>
      </c>
      <c r="N118" s="35" t="n"/>
    </row>
    <row r="119">
      <c r="A119" s="29" t="n"/>
      <c r="B119" s="29" t="n"/>
      <c r="C119" s="29" t="n"/>
      <c r="D119" s="29" t="n"/>
      <c r="E119" s="29" t="n"/>
      <c r="F119" s="29" t="n"/>
      <c r="G119" s="29" t="n"/>
      <c r="H119" s="45">
        <f>IFERROR(VLOOKUP(A119,F_Tabelle,10,FALSE),"")</f>
        <v/>
      </c>
      <c r="I119" s="46">
        <f>IF(OR(D119="",F119=""),"",IF(F119=0,"",EDATE(D119,F119)))</f>
        <v/>
      </c>
      <c r="J119" s="47">
        <f>IF(I119="","",I119-TODAY())</f>
        <v/>
      </c>
      <c r="K119" s="45">
        <f>IF(OR(E119="",G119=""),"",IF(G119=0,"",E119+G119))</f>
        <v/>
      </c>
      <c r="L119" s="45">
        <f>IF(OR(K119="",H119=""),"",K119-H119)</f>
        <v/>
      </c>
      <c r="M119" s="47">
        <f>IF(AND(J119="",L119=""),"",IF(OR(AND(J119&lt;&gt;"",J119&lt;0),AND(L119&lt;&gt;"",L119&lt;0)),"🔴 Überfällig",IF(OR(AND(J119&lt;&gt;"",J119&lt;=30),AND(L119&lt;&gt;"",L119&lt;=1000)),"🟡 Bald fällig","🟢 OK")))</f>
        <v/>
      </c>
      <c r="N119" s="37" t="n"/>
    </row>
    <row r="120">
      <c r="A120" s="31" t="n"/>
      <c r="B120" s="31" t="n"/>
      <c r="C120" s="31" t="n"/>
      <c r="D120" s="31" t="n"/>
      <c r="E120" s="31" t="n"/>
      <c r="F120" s="31" t="n"/>
      <c r="G120" s="31" t="n"/>
      <c r="H120" s="45">
        <f>IFERROR(VLOOKUP(A120,F_Tabelle,10,FALSE),"")</f>
        <v/>
      </c>
      <c r="I120" s="46">
        <f>IF(OR(D120="",F120=""),"",IF(F120=0,"",EDATE(D120,F120)))</f>
        <v/>
      </c>
      <c r="J120" s="47">
        <f>IF(I120="","",I120-TODAY())</f>
        <v/>
      </c>
      <c r="K120" s="45">
        <f>IF(OR(E120="",G120=""),"",IF(G120=0,"",E120+G120))</f>
        <v/>
      </c>
      <c r="L120" s="45">
        <f>IF(OR(K120="",H120=""),"",K120-H120)</f>
        <v/>
      </c>
      <c r="M120" s="47">
        <f>IF(AND(J120="",L120=""),"",IF(OR(AND(J120&lt;&gt;"",J120&lt;0),AND(L120&lt;&gt;"",L120&lt;0)),"🔴 Überfällig",IF(OR(AND(J120&lt;&gt;"",J120&lt;=30),AND(L120&lt;&gt;"",L120&lt;=1000)),"🟡 Bald fällig","🟢 OK")))</f>
        <v/>
      </c>
      <c r="N120" s="35" t="n"/>
    </row>
    <row r="121">
      <c r="A121" s="29" t="n"/>
      <c r="B121" s="29" t="n"/>
      <c r="C121" s="29" t="n"/>
      <c r="D121" s="29" t="n"/>
      <c r="E121" s="29" t="n"/>
      <c r="F121" s="29" t="n"/>
      <c r="G121" s="29" t="n"/>
      <c r="H121" s="45">
        <f>IFERROR(VLOOKUP(A121,F_Tabelle,10,FALSE),"")</f>
        <v/>
      </c>
      <c r="I121" s="46">
        <f>IF(OR(D121="",F121=""),"",IF(F121=0,"",EDATE(D121,F121)))</f>
        <v/>
      </c>
      <c r="J121" s="47">
        <f>IF(I121="","",I121-TODAY())</f>
        <v/>
      </c>
      <c r="K121" s="45">
        <f>IF(OR(E121="",G121=""),"",IF(G121=0,"",E121+G121))</f>
        <v/>
      </c>
      <c r="L121" s="45">
        <f>IF(OR(K121="",H121=""),"",K121-H121)</f>
        <v/>
      </c>
      <c r="M121" s="47">
        <f>IF(AND(J121="",L121=""),"",IF(OR(AND(J121&lt;&gt;"",J121&lt;0),AND(L121&lt;&gt;"",L121&lt;0)),"🔴 Überfällig",IF(OR(AND(J121&lt;&gt;"",J121&lt;=30),AND(L121&lt;&gt;"",L121&lt;=1000)),"🟡 Bald fällig","🟢 OK")))</f>
        <v/>
      </c>
      <c r="N121" s="37" t="n"/>
    </row>
    <row r="122">
      <c r="A122" s="31" t="n"/>
      <c r="B122" s="31" t="n"/>
      <c r="C122" s="31" t="n"/>
      <c r="D122" s="31" t="n"/>
      <c r="E122" s="31" t="n"/>
      <c r="F122" s="31" t="n"/>
      <c r="G122" s="31" t="n"/>
      <c r="H122" s="45">
        <f>IFERROR(VLOOKUP(A122,F_Tabelle,10,FALSE),"")</f>
        <v/>
      </c>
      <c r="I122" s="46">
        <f>IF(OR(D122="",F122=""),"",IF(F122=0,"",EDATE(D122,F122)))</f>
        <v/>
      </c>
      <c r="J122" s="47">
        <f>IF(I122="","",I122-TODAY())</f>
        <v/>
      </c>
      <c r="K122" s="45">
        <f>IF(OR(E122="",G122=""),"",IF(G122=0,"",E122+G122))</f>
        <v/>
      </c>
      <c r="L122" s="45">
        <f>IF(OR(K122="",H122=""),"",K122-H122)</f>
        <v/>
      </c>
      <c r="M122" s="47">
        <f>IF(AND(J122="",L122=""),"",IF(OR(AND(J122&lt;&gt;"",J122&lt;0),AND(L122&lt;&gt;"",L122&lt;0)),"🔴 Überfällig",IF(OR(AND(J122&lt;&gt;"",J122&lt;=30),AND(L122&lt;&gt;"",L122&lt;=1000)),"🟡 Bald fällig","🟢 OK")))</f>
        <v/>
      </c>
      <c r="N122" s="35" t="n"/>
    </row>
    <row r="123">
      <c r="A123" s="29" t="n"/>
      <c r="B123" s="29" t="n"/>
      <c r="C123" s="29" t="n"/>
      <c r="D123" s="29" t="n"/>
      <c r="E123" s="29" t="n"/>
      <c r="F123" s="29" t="n"/>
      <c r="G123" s="29" t="n"/>
      <c r="H123" s="45">
        <f>IFERROR(VLOOKUP(A123,F_Tabelle,10,FALSE),"")</f>
        <v/>
      </c>
      <c r="I123" s="46">
        <f>IF(OR(D123="",F123=""),"",IF(F123=0,"",EDATE(D123,F123)))</f>
        <v/>
      </c>
      <c r="J123" s="47">
        <f>IF(I123="","",I123-TODAY())</f>
        <v/>
      </c>
      <c r="K123" s="45">
        <f>IF(OR(E123="",G123=""),"",IF(G123=0,"",E123+G123))</f>
        <v/>
      </c>
      <c r="L123" s="45">
        <f>IF(OR(K123="",H123=""),"",K123-H123)</f>
        <v/>
      </c>
      <c r="M123" s="47">
        <f>IF(AND(J123="",L123=""),"",IF(OR(AND(J123&lt;&gt;"",J123&lt;0),AND(L123&lt;&gt;"",L123&lt;0)),"🔴 Überfällig",IF(OR(AND(J123&lt;&gt;"",J123&lt;=30),AND(L123&lt;&gt;"",L123&lt;=1000)),"🟡 Bald fällig","🟢 OK")))</f>
        <v/>
      </c>
      <c r="N123" s="37" t="n"/>
    </row>
    <row r="124">
      <c r="A124" s="31" t="n"/>
      <c r="B124" s="31" t="n"/>
      <c r="C124" s="31" t="n"/>
      <c r="D124" s="31" t="n"/>
      <c r="E124" s="31" t="n"/>
      <c r="F124" s="31" t="n"/>
      <c r="G124" s="31" t="n"/>
      <c r="H124" s="45">
        <f>IFERROR(VLOOKUP(A124,F_Tabelle,10,FALSE),"")</f>
        <v/>
      </c>
      <c r="I124" s="46">
        <f>IF(OR(D124="",F124=""),"",IF(F124=0,"",EDATE(D124,F124)))</f>
        <v/>
      </c>
      <c r="J124" s="47">
        <f>IF(I124="","",I124-TODAY())</f>
        <v/>
      </c>
      <c r="K124" s="45">
        <f>IF(OR(E124="",G124=""),"",IF(G124=0,"",E124+G124))</f>
        <v/>
      </c>
      <c r="L124" s="45">
        <f>IF(OR(K124="",H124=""),"",K124-H124)</f>
        <v/>
      </c>
      <c r="M124" s="47">
        <f>IF(AND(J124="",L124=""),"",IF(OR(AND(J124&lt;&gt;"",J124&lt;0),AND(L124&lt;&gt;"",L124&lt;0)),"🔴 Überfällig",IF(OR(AND(J124&lt;&gt;"",J124&lt;=30),AND(L124&lt;&gt;"",L124&lt;=1000)),"🟡 Bald fällig","🟢 OK")))</f>
        <v/>
      </c>
      <c r="N124" s="35" t="n"/>
    </row>
    <row r="125">
      <c r="A125" s="29" t="n"/>
      <c r="B125" s="29" t="n"/>
      <c r="C125" s="29" t="n"/>
      <c r="D125" s="29" t="n"/>
      <c r="E125" s="29" t="n"/>
      <c r="F125" s="29" t="n"/>
      <c r="G125" s="29" t="n"/>
      <c r="H125" s="45">
        <f>IFERROR(VLOOKUP(A125,F_Tabelle,10,FALSE),"")</f>
        <v/>
      </c>
      <c r="I125" s="46">
        <f>IF(OR(D125="",F125=""),"",IF(F125=0,"",EDATE(D125,F125)))</f>
        <v/>
      </c>
      <c r="J125" s="47">
        <f>IF(I125="","",I125-TODAY())</f>
        <v/>
      </c>
      <c r="K125" s="45">
        <f>IF(OR(E125="",G125=""),"",IF(G125=0,"",E125+G125))</f>
        <v/>
      </c>
      <c r="L125" s="45">
        <f>IF(OR(K125="",H125=""),"",K125-H125)</f>
        <v/>
      </c>
      <c r="M125" s="47">
        <f>IF(AND(J125="",L125=""),"",IF(OR(AND(J125&lt;&gt;"",J125&lt;0),AND(L125&lt;&gt;"",L125&lt;0)),"🔴 Überfällig",IF(OR(AND(J125&lt;&gt;"",J125&lt;=30),AND(L125&lt;&gt;"",L125&lt;=1000)),"🟡 Bald fällig","🟢 OK")))</f>
        <v/>
      </c>
      <c r="N125" s="37" t="n"/>
    </row>
    <row r="126">
      <c r="A126" s="31" t="n"/>
      <c r="B126" s="31" t="n"/>
      <c r="C126" s="31" t="n"/>
      <c r="D126" s="31" t="n"/>
      <c r="E126" s="31" t="n"/>
      <c r="F126" s="31" t="n"/>
      <c r="G126" s="31" t="n"/>
      <c r="H126" s="45">
        <f>IFERROR(VLOOKUP(A126,F_Tabelle,10,FALSE),"")</f>
        <v/>
      </c>
      <c r="I126" s="46">
        <f>IF(OR(D126="",F126=""),"",IF(F126=0,"",EDATE(D126,F126)))</f>
        <v/>
      </c>
      <c r="J126" s="47">
        <f>IF(I126="","",I126-TODAY())</f>
        <v/>
      </c>
      <c r="K126" s="45">
        <f>IF(OR(E126="",G126=""),"",IF(G126=0,"",E126+G126))</f>
        <v/>
      </c>
      <c r="L126" s="45">
        <f>IF(OR(K126="",H126=""),"",K126-H126)</f>
        <v/>
      </c>
      <c r="M126" s="47">
        <f>IF(AND(J126="",L126=""),"",IF(OR(AND(J126&lt;&gt;"",J126&lt;0),AND(L126&lt;&gt;"",L126&lt;0)),"🔴 Überfällig",IF(OR(AND(J126&lt;&gt;"",J126&lt;=30),AND(L126&lt;&gt;"",L126&lt;=1000)),"🟡 Bald fällig","🟢 OK")))</f>
        <v/>
      </c>
      <c r="N126" s="35" t="n"/>
    </row>
    <row r="127">
      <c r="A127" s="29" t="n"/>
      <c r="B127" s="29" t="n"/>
      <c r="C127" s="29" t="n"/>
      <c r="D127" s="29" t="n"/>
      <c r="E127" s="29" t="n"/>
      <c r="F127" s="29" t="n"/>
      <c r="G127" s="29" t="n"/>
      <c r="H127" s="45">
        <f>IFERROR(VLOOKUP(A127,F_Tabelle,10,FALSE),"")</f>
        <v/>
      </c>
      <c r="I127" s="46">
        <f>IF(OR(D127="",F127=""),"",IF(F127=0,"",EDATE(D127,F127)))</f>
        <v/>
      </c>
      <c r="J127" s="47">
        <f>IF(I127="","",I127-TODAY())</f>
        <v/>
      </c>
      <c r="K127" s="45">
        <f>IF(OR(E127="",G127=""),"",IF(G127=0,"",E127+G127))</f>
        <v/>
      </c>
      <c r="L127" s="45">
        <f>IF(OR(K127="",H127=""),"",K127-H127)</f>
        <v/>
      </c>
      <c r="M127" s="47">
        <f>IF(AND(J127="",L127=""),"",IF(OR(AND(J127&lt;&gt;"",J127&lt;0),AND(L127&lt;&gt;"",L127&lt;0)),"🔴 Überfällig",IF(OR(AND(J127&lt;&gt;"",J127&lt;=30),AND(L127&lt;&gt;"",L127&lt;=1000)),"🟡 Bald fällig","🟢 OK")))</f>
        <v/>
      </c>
      <c r="N127" s="37" t="n"/>
    </row>
    <row r="128">
      <c r="A128" s="31" t="n"/>
      <c r="B128" s="31" t="n"/>
      <c r="C128" s="31" t="n"/>
      <c r="D128" s="31" t="n"/>
      <c r="E128" s="31" t="n"/>
      <c r="F128" s="31" t="n"/>
      <c r="G128" s="31" t="n"/>
      <c r="H128" s="45">
        <f>IFERROR(VLOOKUP(A128,F_Tabelle,10,FALSE),"")</f>
        <v/>
      </c>
      <c r="I128" s="46">
        <f>IF(OR(D128="",F128=""),"",IF(F128=0,"",EDATE(D128,F128)))</f>
        <v/>
      </c>
      <c r="J128" s="47">
        <f>IF(I128="","",I128-TODAY())</f>
        <v/>
      </c>
      <c r="K128" s="45">
        <f>IF(OR(E128="",G128=""),"",IF(G128=0,"",E128+G128))</f>
        <v/>
      </c>
      <c r="L128" s="45">
        <f>IF(OR(K128="",H128=""),"",K128-H128)</f>
        <v/>
      </c>
      <c r="M128" s="47">
        <f>IF(AND(J128="",L128=""),"",IF(OR(AND(J128&lt;&gt;"",J128&lt;0),AND(L128&lt;&gt;"",L128&lt;0)),"🔴 Überfällig",IF(OR(AND(J128&lt;&gt;"",J128&lt;=30),AND(L128&lt;&gt;"",L128&lt;=1000)),"🟡 Bald fällig","🟢 OK")))</f>
        <v/>
      </c>
      <c r="N128" s="35" t="n"/>
    </row>
    <row r="129">
      <c r="A129" s="29" t="n"/>
      <c r="B129" s="29" t="n"/>
      <c r="C129" s="29" t="n"/>
      <c r="D129" s="29" t="n"/>
      <c r="E129" s="29" t="n"/>
      <c r="F129" s="29" t="n"/>
      <c r="G129" s="29" t="n"/>
      <c r="H129" s="45">
        <f>IFERROR(VLOOKUP(A129,F_Tabelle,10,FALSE),"")</f>
        <v/>
      </c>
      <c r="I129" s="46">
        <f>IF(OR(D129="",F129=""),"",IF(F129=0,"",EDATE(D129,F129)))</f>
        <v/>
      </c>
      <c r="J129" s="47">
        <f>IF(I129="","",I129-TODAY())</f>
        <v/>
      </c>
      <c r="K129" s="45">
        <f>IF(OR(E129="",G129=""),"",IF(G129=0,"",E129+G129))</f>
        <v/>
      </c>
      <c r="L129" s="45">
        <f>IF(OR(K129="",H129=""),"",K129-H129)</f>
        <v/>
      </c>
      <c r="M129" s="47">
        <f>IF(AND(J129="",L129=""),"",IF(OR(AND(J129&lt;&gt;"",J129&lt;0),AND(L129&lt;&gt;"",L129&lt;0)),"🔴 Überfällig",IF(OR(AND(J129&lt;&gt;"",J129&lt;=30),AND(L129&lt;&gt;"",L129&lt;=1000)),"🟡 Bald fällig","🟢 OK")))</f>
        <v/>
      </c>
      <c r="N129" s="37" t="n"/>
    </row>
    <row r="130">
      <c r="A130" s="31" t="n"/>
      <c r="B130" s="31" t="n"/>
      <c r="C130" s="31" t="n"/>
      <c r="D130" s="31" t="n"/>
      <c r="E130" s="31" t="n"/>
      <c r="F130" s="31" t="n"/>
      <c r="G130" s="31" t="n"/>
      <c r="H130" s="45">
        <f>IFERROR(VLOOKUP(A130,F_Tabelle,10,FALSE),"")</f>
        <v/>
      </c>
      <c r="I130" s="46">
        <f>IF(OR(D130="",F130=""),"",IF(F130=0,"",EDATE(D130,F130)))</f>
        <v/>
      </c>
      <c r="J130" s="47">
        <f>IF(I130="","",I130-TODAY())</f>
        <v/>
      </c>
      <c r="K130" s="45">
        <f>IF(OR(E130="",G130=""),"",IF(G130=0,"",E130+G130))</f>
        <v/>
      </c>
      <c r="L130" s="45">
        <f>IF(OR(K130="",H130=""),"",K130-H130)</f>
        <v/>
      </c>
      <c r="M130" s="47">
        <f>IF(AND(J130="",L130=""),"",IF(OR(AND(J130&lt;&gt;"",J130&lt;0),AND(L130&lt;&gt;"",L130&lt;0)),"🔴 Überfällig",IF(OR(AND(J130&lt;&gt;"",J130&lt;=30),AND(L130&lt;&gt;"",L130&lt;=1000)),"🟡 Bald fällig","🟢 OK")))</f>
        <v/>
      </c>
      <c r="N130" s="35" t="n"/>
    </row>
    <row r="131">
      <c r="A131" s="29" t="n"/>
      <c r="B131" s="29" t="n"/>
      <c r="C131" s="29" t="n"/>
      <c r="D131" s="29" t="n"/>
      <c r="E131" s="29" t="n"/>
      <c r="F131" s="29" t="n"/>
      <c r="G131" s="29" t="n"/>
      <c r="H131" s="45">
        <f>IFERROR(VLOOKUP(A131,F_Tabelle,10,FALSE),"")</f>
        <v/>
      </c>
      <c r="I131" s="46">
        <f>IF(OR(D131="",F131=""),"",IF(F131=0,"",EDATE(D131,F131)))</f>
        <v/>
      </c>
      <c r="J131" s="47">
        <f>IF(I131="","",I131-TODAY())</f>
        <v/>
      </c>
      <c r="K131" s="45">
        <f>IF(OR(E131="",G131=""),"",IF(G131=0,"",E131+G131))</f>
        <v/>
      </c>
      <c r="L131" s="45">
        <f>IF(OR(K131="",H131=""),"",K131-H131)</f>
        <v/>
      </c>
      <c r="M131" s="47">
        <f>IF(AND(J131="",L131=""),"",IF(OR(AND(J131&lt;&gt;"",J131&lt;0),AND(L131&lt;&gt;"",L131&lt;0)),"🔴 Überfällig",IF(OR(AND(J131&lt;&gt;"",J131&lt;=30),AND(L131&lt;&gt;"",L131&lt;=1000)),"🟡 Bald fällig","🟢 OK")))</f>
        <v/>
      </c>
      <c r="N131" s="37" t="n"/>
    </row>
    <row r="132">
      <c r="A132" s="31" t="n"/>
      <c r="B132" s="31" t="n"/>
      <c r="C132" s="31" t="n"/>
      <c r="D132" s="31" t="n"/>
      <c r="E132" s="31" t="n"/>
      <c r="F132" s="31" t="n"/>
      <c r="G132" s="31" t="n"/>
      <c r="H132" s="45">
        <f>IFERROR(VLOOKUP(A132,F_Tabelle,10,FALSE),"")</f>
        <v/>
      </c>
      <c r="I132" s="46">
        <f>IF(OR(D132="",F132=""),"",IF(F132=0,"",EDATE(D132,F132)))</f>
        <v/>
      </c>
      <c r="J132" s="47">
        <f>IF(I132="","",I132-TODAY())</f>
        <v/>
      </c>
      <c r="K132" s="45">
        <f>IF(OR(E132="",G132=""),"",IF(G132=0,"",E132+G132))</f>
        <v/>
      </c>
      <c r="L132" s="45">
        <f>IF(OR(K132="",H132=""),"",K132-H132)</f>
        <v/>
      </c>
      <c r="M132" s="47">
        <f>IF(AND(J132="",L132=""),"",IF(OR(AND(J132&lt;&gt;"",J132&lt;0),AND(L132&lt;&gt;"",L132&lt;0)),"🔴 Überfällig",IF(OR(AND(J132&lt;&gt;"",J132&lt;=30),AND(L132&lt;&gt;"",L132&lt;=1000)),"🟡 Bald fällig","🟢 OK")))</f>
        <v/>
      </c>
      <c r="N132" s="35" t="n"/>
    </row>
    <row r="133">
      <c r="A133" s="29" t="n"/>
      <c r="B133" s="29" t="n"/>
      <c r="C133" s="29" t="n"/>
      <c r="D133" s="29" t="n"/>
      <c r="E133" s="29" t="n"/>
      <c r="F133" s="29" t="n"/>
      <c r="G133" s="29" t="n"/>
      <c r="H133" s="45">
        <f>IFERROR(VLOOKUP(A133,F_Tabelle,10,FALSE),"")</f>
        <v/>
      </c>
      <c r="I133" s="46">
        <f>IF(OR(D133="",F133=""),"",IF(F133=0,"",EDATE(D133,F133)))</f>
        <v/>
      </c>
      <c r="J133" s="47">
        <f>IF(I133="","",I133-TODAY())</f>
        <v/>
      </c>
      <c r="K133" s="45">
        <f>IF(OR(E133="",G133=""),"",IF(G133=0,"",E133+G133))</f>
        <v/>
      </c>
      <c r="L133" s="45">
        <f>IF(OR(K133="",H133=""),"",K133-H133)</f>
        <v/>
      </c>
      <c r="M133" s="47">
        <f>IF(AND(J133="",L133=""),"",IF(OR(AND(J133&lt;&gt;"",J133&lt;0),AND(L133&lt;&gt;"",L133&lt;0)),"🔴 Überfällig",IF(OR(AND(J133&lt;&gt;"",J133&lt;=30),AND(L133&lt;&gt;"",L133&lt;=1000)),"🟡 Bald fällig","🟢 OK")))</f>
        <v/>
      </c>
      <c r="N133" s="37" t="n"/>
    </row>
    <row r="134">
      <c r="A134" s="31" t="n"/>
      <c r="B134" s="31" t="n"/>
      <c r="C134" s="31" t="n"/>
      <c r="D134" s="31" t="n"/>
      <c r="E134" s="31" t="n"/>
      <c r="F134" s="31" t="n"/>
      <c r="G134" s="31" t="n"/>
      <c r="H134" s="45">
        <f>IFERROR(VLOOKUP(A134,F_Tabelle,10,FALSE),"")</f>
        <v/>
      </c>
      <c r="I134" s="46">
        <f>IF(OR(D134="",F134=""),"",IF(F134=0,"",EDATE(D134,F134)))</f>
        <v/>
      </c>
      <c r="J134" s="47">
        <f>IF(I134="","",I134-TODAY())</f>
        <v/>
      </c>
      <c r="K134" s="45">
        <f>IF(OR(E134="",G134=""),"",IF(G134=0,"",E134+G134))</f>
        <v/>
      </c>
      <c r="L134" s="45">
        <f>IF(OR(K134="",H134=""),"",K134-H134)</f>
        <v/>
      </c>
      <c r="M134" s="47">
        <f>IF(AND(J134="",L134=""),"",IF(OR(AND(J134&lt;&gt;"",J134&lt;0),AND(L134&lt;&gt;"",L134&lt;0)),"🔴 Überfällig",IF(OR(AND(J134&lt;&gt;"",J134&lt;=30),AND(L134&lt;&gt;"",L134&lt;=1000)),"🟡 Bald fällig","🟢 OK")))</f>
        <v/>
      </c>
      <c r="N134" s="35" t="n"/>
    </row>
    <row r="135">
      <c r="A135" s="29" t="n"/>
      <c r="B135" s="29" t="n"/>
      <c r="C135" s="29" t="n"/>
      <c r="D135" s="29" t="n"/>
      <c r="E135" s="29" t="n"/>
      <c r="F135" s="29" t="n"/>
      <c r="G135" s="29" t="n"/>
      <c r="H135" s="45">
        <f>IFERROR(VLOOKUP(A135,F_Tabelle,10,FALSE),"")</f>
        <v/>
      </c>
      <c r="I135" s="46">
        <f>IF(OR(D135="",F135=""),"",IF(F135=0,"",EDATE(D135,F135)))</f>
        <v/>
      </c>
      <c r="J135" s="47">
        <f>IF(I135="","",I135-TODAY())</f>
        <v/>
      </c>
      <c r="K135" s="45">
        <f>IF(OR(E135="",G135=""),"",IF(G135=0,"",E135+G135))</f>
        <v/>
      </c>
      <c r="L135" s="45">
        <f>IF(OR(K135="",H135=""),"",K135-H135)</f>
        <v/>
      </c>
      <c r="M135" s="47">
        <f>IF(AND(J135="",L135=""),"",IF(OR(AND(J135&lt;&gt;"",J135&lt;0),AND(L135&lt;&gt;"",L135&lt;0)),"🔴 Überfällig",IF(OR(AND(J135&lt;&gt;"",J135&lt;=30),AND(L135&lt;&gt;"",L135&lt;=1000)),"🟡 Bald fällig","🟢 OK")))</f>
        <v/>
      </c>
      <c r="N135" s="37" t="n"/>
    </row>
    <row r="136">
      <c r="A136" s="31" t="n"/>
      <c r="B136" s="31" t="n"/>
      <c r="C136" s="31" t="n"/>
      <c r="D136" s="31" t="n"/>
      <c r="E136" s="31" t="n"/>
      <c r="F136" s="31" t="n"/>
      <c r="G136" s="31" t="n"/>
      <c r="H136" s="45">
        <f>IFERROR(VLOOKUP(A136,F_Tabelle,10,FALSE),"")</f>
        <v/>
      </c>
      <c r="I136" s="46">
        <f>IF(OR(D136="",F136=""),"",IF(F136=0,"",EDATE(D136,F136)))</f>
        <v/>
      </c>
      <c r="J136" s="47">
        <f>IF(I136="","",I136-TODAY())</f>
        <v/>
      </c>
      <c r="K136" s="45">
        <f>IF(OR(E136="",G136=""),"",IF(G136=0,"",E136+G136))</f>
        <v/>
      </c>
      <c r="L136" s="45">
        <f>IF(OR(K136="",H136=""),"",K136-H136)</f>
        <v/>
      </c>
      <c r="M136" s="47">
        <f>IF(AND(J136="",L136=""),"",IF(OR(AND(J136&lt;&gt;"",J136&lt;0),AND(L136&lt;&gt;"",L136&lt;0)),"🔴 Überfällig",IF(OR(AND(J136&lt;&gt;"",J136&lt;=30),AND(L136&lt;&gt;"",L136&lt;=1000)),"🟡 Bald fällig","🟢 OK")))</f>
        <v/>
      </c>
      <c r="N136" s="35" t="n"/>
    </row>
    <row r="137">
      <c r="A137" s="29" t="n"/>
      <c r="B137" s="29" t="n"/>
      <c r="C137" s="29" t="n"/>
      <c r="D137" s="29" t="n"/>
      <c r="E137" s="29" t="n"/>
      <c r="F137" s="29" t="n"/>
      <c r="G137" s="29" t="n"/>
      <c r="H137" s="45">
        <f>IFERROR(VLOOKUP(A137,F_Tabelle,10,FALSE),"")</f>
        <v/>
      </c>
      <c r="I137" s="46">
        <f>IF(OR(D137="",F137=""),"",IF(F137=0,"",EDATE(D137,F137)))</f>
        <v/>
      </c>
      <c r="J137" s="47">
        <f>IF(I137="","",I137-TODAY())</f>
        <v/>
      </c>
      <c r="K137" s="45">
        <f>IF(OR(E137="",G137=""),"",IF(G137=0,"",E137+G137))</f>
        <v/>
      </c>
      <c r="L137" s="45">
        <f>IF(OR(K137="",H137=""),"",K137-H137)</f>
        <v/>
      </c>
      <c r="M137" s="47">
        <f>IF(AND(J137="",L137=""),"",IF(OR(AND(J137&lt;&gt;"",J137&lt;0),AND(L137&lt;&gt;"",L137&lt;0)),"🔴 Überfällig",IF(OR(AND(J137&lt;&gt;"",J137&lt;=30),AND(L137&lt;&gt;"",L137&lt;=1000)),"🟡 Bald fällig","🟢 OK")))</f>
        <v/>
      </c>
      <c r="N137" s="37" t="n"/>
    </row>
    <row r="138">
      <c r="A138" s="31" t="n"/>
      <c r="B138" s="31" t="n"/>
      <c r="C138" s="31" t="n"/>
      <c r="D138" s="31" t="n"/>
      <c r="E138" s="31" t="n"/>
      <c r="F138" s="31" t="n"/>
      <c r="G138" s="31" t="n"/>
      <c r="H138" s="45">
        <f>IFERROR(VLOOKUP(A138,F_Tabelle,10,FALSE),"")</f>
        <v/>
      </c>
      <c r="I138" s="46">
        <f>IF(OR(D138="",F138=""),"",IF(F138=0,"",EDATE(D138,F138)))</f>
        <v/>
      </c>
      <c r="J138" s="47">
        <f>IF(I138="","",I138-TODAY())</f>
        <v/>
      </c>
      <c r="K138" s="45">
        <f>IF(OR(E138="",G138=""),"",IF(G138=0,"",E138+G138))</f>
        <v/>
      </c>
      <c r="L138" s="45">
        <f>IF(OR(K138="",H138=""),"",K138-H138)</f>
        <v/>
      </c>
      <c r="M138" s="47">
        <f>IF(AND(J138="",L138=""),"",IF(OR(AND(J138&lt;&gt;"",J138&lt;0),AND(L138&lt;&gt;"",L138&lt;0)),"🔴 Überfällig",IF(OR(AND(J138&lt;&gt;"",J138&lt;=30),AND(L138&lt;&gt;"",L138&lt;=1000)),"🟡 Bald fällig","🟢 OK")))</f>
        <v/>
      </c>
      <c r="N138" s="35" t="n"/>
    </row>
    <row r="139">
      <c r="A139" s="29" t="n"/>
      <c r="B139" s="29" t="n"/>
      <c r="C139" s="29" t="n"/>
      <c r="D139" s="29" t="n"/>
      <c r="E139" s="29" t="n"/>
      <c r="F139" s="29" t="n"/>
      <c r="G139" s="29" t="n"/>
      <c r="H139" s="45">
        <f>IFERROR(VLOOKUP(A139,F_Tabelle,10,FALSE),"")</f>
        <v/>
      </c>
      <c r="I139" s="46">
        <f>IF(OR(D139="",F139=""),"",IF(F139=0,"",EDATE(D139,F139)))</f>
        <v/>
      </c>
      <c r="J139" s="47">
        <f>IF(I139="","",I139-TODAY())</f>
        <v/>
      </c>
      <c r="K139" s="45">
        <f>IF(OR(E139="",G139=""),"",IF(G139=0,"",E139+G139))</f>
        <v/>
      </c>
      <c r="L139" s="45">
        <f>IF(OR(K139="",H139=""),"",K139-H139)</f>
        <v/>
      </c>
      <c r="M139" s="47">
        <f>IF(AND(J139="",L139=""),"",IF(OR(AND(J139&lt;&gt;"",J139&lt;0),AND(L139&lt;&gt;"",L139&lt;0)),"🔴 Überfällig",IF(OR(AND(J139&lt;&gt;"",J139&lt;=30),AND(L139&lt;&gt;"",L139&lt;=1000)),"🟡 Bald fällig","🟢 OK")))</f>
        <v/>
      </c>
      <c r="N139" s="37" t="n"/>
    </row>
    <row r="140">
      <c r="A140" s="31" t="n"/>
      <c r="B140" s="31" t="n"/>
      <c r="C140" s="31" t="n"/>
      <c r="D140" s="31" t="n"/>
      <c r="E140" s="31" t="n"/>
      <c r="F140" s="31" t="n"/>
      <c r="G140" s="31" t="n"/>
      <c r="H140" s="45">
        <f>IFERROR(VLOOKUP(A140,F_Tabelle,10,FALSE),"")</f>
        <v/>
      </c>
      <c r="I140" s="46">
        <f>IF(OR(D140="",F140=""),"",IF(F140=0,"",EDATE(D140,F140)))</f>
        <v/>
      </c>
      <c r="J140" s="47">
        <f>IF(I140="","",I140-TODAY())</f>
        <v/>
      </c>
      <c r="K140" s="45">
        <f>IF(OR(E140="",G140=""),"",IF(G140=0,"",E140+G140))</f>
        <v/>
      </c>
      <c r="L140" s="45">
        <f>IF(OR(K140="",H140=""),"",K140-H140)</f>
        <v/>
      </c>
      <c r="M140" s="47">
        <f>IF(AND(J140="",L140=""),"",IF(OR(AND(J140&lt;&gt;"",J140&lt;0),AND(L140&lt;&gt;"",L140&lt;0)),"🔴 Überfällig",IF(OR(AND(J140&lt;&gt;"",J140&lt;=30),AND(L140&lt;&gt;"",L140&lt;=1000)),"🟡 Bald fällig","🟢 OK")))</f>
        <v/>
      </c>
      <c r="N140" s="35" t="n"/>
    </row>
    <row r="141">
      <c r="A141" s="29" t="n"/>
      <c r="B141" s="29" t="n"/>
      <c r="C141" s="29" t="n"/>
      <c r="D141" s="29" t="n"/>
      <c r="E141" s="29" t="n"/>
      <c r="F141" s="29" t="n"/>
      <c r="G141" s="29" t="n"/>
      <c r="H141" s="45">
        <f>IFERROR(VLOOKUP(A141,F_Tabelle,10,FALSE),"")</f>
        <v/>
      </c>
      <c r="I141" s="46">
        <f>IF(OR(D141="",F141=""),"",IF(F141=0,"",EDATE(D141,F141)))</f>
        <v/>
      </c>
      <c r="J141" s="47">
        <f>IF(I141="","",I141-TODAY())</f>
        <v/>
      </c>
      <c r="K141" s="45">
        <f>IF(OR(E141="",G141=""),"",IF(G141=0,"",E141+G141))</f>
        <v/>
      </c>
      <c r="L141" s="45">
        <f>IF(OR(K141="",H141=""),"",K141-H141)</f>
        <v/>
      </c>
      <c r="M141" s="47">
        <f>IF(AND(J141="",L141=""),"",IF(OR(AND(J141&lt;&gt;"",J141&lt;0),AND(L141&lt;&gt;"",L141&lt;0)),"🔴 Überfällig",IF(OR(AND(J141&lt;&gt;"",J141&lt;=30),AND(L141&lt;&gt;"",L141&lt;=1000)),"🟡 Bald fällig","🟢 OK")))</f>
        <v/>
      </c>
      <c r="N141" s="37" t="n"/>
    </row>
    <row r="142">
      <c r="A142" s="31" t="n"/>
      <c r="B142" s="31" t="n"/>
      <c r="C142" s="31" t="n"/>
      <c r="D142" s="31" t="n"/>
      <c r="E142" s="31" t="n"/>
      <c r="F142" s="31" t="n"/>
      <c r="G142" s="31" t="n"/>
      <c r="H142" s="45">
        <f>IFERROR(VLOOKUP(A142,F_Tabelle,10,FALSE),"")</f>
        <v/>
      </c>
      <c r="I142" s="46">
        <f>IF(OR(D142="",F142=""),"",IF(F142=0,"",EDATE(D142,F142)))</f>
        <v/>
      </c>
      <c r="J142" s="47">
        <f>IF(I142="","",I142-TODAY())</f>
        <v/>
      </c>
      <c r="K142" s="45">
        <f>IF(OR(E142="",G142=""),"",IF(G142=0,"",E142+G142))</f>
        <v/>
      </c>
      <c r="L142" s="45">
        <f>IF(OR(K142="",H142=""),"",K142-H142)</f>
        <v/>
      </c>
      <c r="M142" s="47">
        <f>IF(AND(J142="",L142=""),"",IF(OR(AND(J142&lt;&gt;"",J142&lt;0),AND(L142&lt;&gt;"",L142&lt;0)),"🔴 Überfällig",IF(OR(AND(J142&lt;&gt;"",J142&lt;=30),AND(L142&lt;&gt;"",L142&lt;=1000)),"🟡 Bald fällig","🟢 OK")))</f>
        <v/>
      </c>
      <c r="N142" s="35" t="n"/>
    </row>
    <row r="143">
      <c r="A143" s="29" t="n"/>
      <c r="B143" s="29" t="n"/>
      <c r="C143" s="29" t="n"/>
      <c r="D143" s="29" t="n"/>
      <c r="E143" s="29" t="n"/>
      <c r="F143" s="29" t="n"/>
      <c r="G143" s="29" t="n"/>
      <c r="H143" s="45">
        <f>IFERROR(VLOOKUP(A143,F_Tabelle,10,FALSE),"")</f>
        <v/>
      </c>
      <c r="I143" s="46">
        <f>IF(OR(D143="",F143=""),"",IF(F143=0,"",EDATE(D143,F143)))</f>
        <v/>
      </c>
      <c r="J143" s="47">
        <f>IF(I143="","",I143-TODAY())</f>
        <v/>
      </c>
      <c r="K143" s="45">
        <f>IF(OR(E143="",G143=""),"",IF(G143=0,"",E143+G143))</f>
        <v/>
      </c>
      <c r="L143" s="45">
        <f>IF(OR(K143="",H143=""),"",K143-H143)</f>
        <v/>
      </c>
      <c r="M143" s="47">
        <f>IF(AND(J143="",L143=""),"",IF(OR(AND(J143&lt;&gt;"",J143&lt;0),AND(L143&lt;&gt;"",L143&lt;0)),"🔴 Überfällig",IF(OR(AND(J143&lt;&gt;"",J143&lt;=30),AND(L143&lt;&gt;"",L143&lt;=1000)),"🟡 Bald fällig","🟢 OK")))</f>
        <v/>
      </c>
      <c r="N143" s="37" t="n"/>
    </row>
    <row r="144">
      <c r="A144" s="31" t="n"/>
      <c r="B144" s="31" t="n"/>
      <c r="C144" s="31" t="n"/>
      <c r="D144" s="31" t="n"/>
      <c r="E144" s="31" t="n"/>
      <c r="F144" s="31" t="n"/>
      <c r="G144" s="31" t="n"/>
      <c r="H144" s="45">
        <f>IFERROR(VLOOKUP(A144,F_Tabelle,10,FALSE),"")</f>
        <v/>
      </c>
      <c r="I144" s="46">
        <f>IF(OR(D144="",F144=""),"",IF(F144=0,"",EDATE(D144,F144)))</f>
        <v/>
      </c>
      <c r="J144" s="47">
        <f>IF(I144="","",I144-TODAY())</f>
        <v/>
      </c>
      <c r="K144" s="45">
        <f>IF(OR(E144="",G144=""),"",IF(G144=0,"",E144+G144))</f>
        <v/>
      </c>
      <c r="L144" s="45">
        <f>IF(OR(K144="",H144=""),"",K144-H144)</f>
        <v/>
      </c>
      <c r="M144" s="47">
        <f>IF(AND(J144="",L144=""),"",IF(OR(AND(J144&lt;&gt;"",J144&lt;0),AND(L144&lt;&gt;"",L144&lt;0)),"🔴 Überfällig",IF(OR(AND(J144&lt;&gt;"",J144&lt;=30),AND(L144&lt;&gt;"",L144&lt;=1000)),"🟡 Bald fällig","🟢 OK")))</f>
        <v/>
      </c>
      <c r="N144" s="35" t="n"/>
    </row>
    <row r="145">
      <c r="A145" s="29" t="n"/>
      <c r="B145" s="29" t="n"/>
      <c r="C145" s="29" t="n"/>
      <c r="D145" s="29" t="n"/>
      <c r="E145" s="29" t="n"/>
      <c r="F145" s="29" t="n"/>
      <c r="G145" s="29" t="n"/>
      <c r="H145" s="45">
        <f>IFERROR(VLOOKUP(A145,F_Tabelle,10,FALSE),"")</f>
        <v/>
      </c>
      <c r="I145" s="46">
        <f>IF(OR(D145="",F145=""),"",IF(F145=0,"",EDATE(D145,F145)))</f>
        <v/>
      </c>
      <c r="J145" s="47">
        <f>IF(I145="","",I145-TODAY())</f>
        <v/>
      </c>
      <c r="K145" s="45">
        <f>IF(OR(E145="",G145=""),"",IF(G145=0,"",E145+G145))</f>
        <v/>
      </c>
      <c r="L145" s="45">
        <f>IF(OR(K145="",H145=""),"",K145-H145)</f>
        <v/>
      </c>
      <c r="M145" s="47">
        <f>IF(AND(J145="",L145=""),"",IF(OR(AND(J145&lt;&gt;"",J145&lt;0),AND(L145&lt;&gt;"",L145&lt;0)),"🔴 Überfällig",IF(OR(AND(J145&lt;&gt;"",J145&lt;=30),AND(L145&lt;&gt;"",L145&lt;=1000)),"🟡 Bald fällig","🟢 OK")))</f>
        <v/>
      </c>
      <c r="N145" s="37" t="n"/>
    </row>
    <row r="146">
      <c r="A146" s="31" t="n"/>
      <c r="B146" s="31" t="n"/>
      <c r="C146" s="31" t="n"/>
      <c r="D146" s="31" t="n"/>
      <c r="E146" s="31" t="n"/>
      <c r="F146" s="31" t="n"/>
      <c r="G146" s="31" t="n"/>
      <c r="H146" s="45">
        <f>IFERROR(VLOOKUP(A146,F_Tabelle,10,FALSE),"")</f>
        <v/>
      </c>
      <c r="I146" s="46">
        <f>IF(OR(D146="",F146=""),"",IF(F146=0,"",EDATE(D146,F146)))</f>
        <v/>
      </c>
      <c r="J146" s="47">
        <f>IF(I146="","",I146-TODAY())</f>
        <v/>
      </c>
      <c r="K146" s="45">
        <f>IF(OR(E146="",G146=""),"",IF(G146=0,"",E146+G146))</f>
        <v/>
      </c>
      <c r="L146" s="45">
        <f>IF(OR(K146="",H146=""),"",K146-H146)</f>
        <v/>
      </c>
      <c r="M146" s="47">
        <f>IF(AND(J146="",L146=""),"",IF(OR(AND(J146&lt;&gt;"",J146&lt;0),AND(L146&lt;&gt;"",L146&lt;0)),"🔴 Überfällig",IF(OR(AND(J146&lt;&gt;"",J146&lt;=30),AND(L146&lt;&gt;"",L146&lt;=1000)),"🟡 Bald fällig","🟢 OK")))</f>
        <v/>
      </c>
      <c r="N146" s="35" t="n"/>
    </row>
    <row r="147">
      <c r="A147" s="29" t="n"/>
      <c r="B147" s="29" t="n"/>
      <c r="C147" s="29" t="n"/>
      <c r="D147" s="29" t="n"/>
      <c r="E147" s="29" t="n"/>
      <c r="F147" s="29" t="n"/>
      <c r="G147" s="29" t="n"/>
      <c r="H147" s="45">
        <f>IFERROR(VLOOKUP(A147,F_Tabelle,10,FALSE),"")</f>
        <v/>
      </c>
      <c r="I147" s="46">
        <f>IF(OR(D147="",F147=""),"",IF(F147=0,"",EDATE(D147,F147)))</f>
        <v/>
      </c>
      <c r="J147" s="47">
        <f>IF(I147="","",I147-TODAY())</f>
        <v/>
      </c>
      <c r="K147" s="45">
        <f>IF(OR(E147="",G147=""),"",IF(G147=0,"",E147+G147))</f>
        <v/>
      </c>
      <c r="L147" s="45">
        <f>IF(OR(K147="",H147=""),"",K147-H147)</f>
        <v/>
      </c>
      <c r="M147" s="47">
        <f>IF(AND(J147="",L147=""),"",IF(OR(AND(J147&lt;&gt;"",J147&lt;0),AND(L147&lt;&gt;"",L147&lt;0)),"🔴 Überfällig",IF(OR(AND(J147&lt;&gt;"",J147&lt;=30),AND(L147&lt;&gt;"",L147&lt;=1000)),"🟡 Bald fällig","🟢 OK")))</f>
        <v/>
      </c>
      <c r="N147" s="37" t="n"/>
    </row>
    <row r="148">
      <c r="A148" s="31" t="n"/>
      <c r="B148" s="31" t="n"/>
      <c r="C148" s="31" t="n"/>
      <c r="D148" s="31" t="n"/>
      <c r="E148" s="31" t="n"/>
      <c r="F148" s="31" t="n"/>
      <c r="G148" s="31" t="n"/>
      <c r="H148" s="45">
        <f>IFERROR(VLOOKUP(A148,F_Tabelle,10,FALSE),"")</f>
        <v/>
      </c>
      <c r="I148" s="46">
        <f>IF(OR(D148="",F148=""),"",IF(F148=0,"",EDATE(D148,F148)))</f>
        <v/>
      </c>
      <c r="J148" s="47">
        <f>IF(I148="","",I148-TODAY())</f>
        <v/>
      </c>
      <c r="K148" s="45">
        <f>IF(OR(E148="",G148=""),"",IF(G148=0,"",E148+G148))</f>
        <v/>
      </c>
      <c r="L148" s="45">
        <f>IF(OR(K148="",H148=""),"",K148-H148)</f>
        <v/>
      </c>
      <c r="M148" s="47">
        <f>IF(AND(J148="",L148=""),"",IF(OR(AND(J148&lt;&gt;"",J148&lt;0),AND(L148&lt;&gt;"",L148&lt;0)),"🔴 Überfällig",IF(OR(AND(J148&lt;&gt;"",J148&lt;=30),AND(L148&lt;&gt;"",L148&lt;=1000)),"🟡 Bald fällig","🟢 OK")))</f>
        <v/>
      </c>
      <c r="N148" s="35" t="n"/>
    </row>
    <row r="149">
      <c r="A149" s="29" t="n"/>
      <c r="B149" s="29" t="n"/>
      <c r="C149" s="29" t="n"/>
      <c r="D149" s="29" t="n"/>
      <c r="E149" s="29" t="n"/>
      <c r="F149" s="29" t="n"/>
      <c r="G149" s="29" t="n"/>
      <c r="H149" s="45">
        <f>IFERROR(VLOOKUP(A149,F_Tabelle,10,FALSE),"")</f>
        <v/>
      </c>
      <c r="I149" s="46">
        <f>IF(OR(D149="",F149=""),"",IF(F149=0,"",EDATE(D149,F149)))</f>
        <v/>
      </c>
      <c r="J149" s="47">
        <f>IF(I149="","",I149-TODAY())</f>
        <v/>
      </c>
      <c r="K149" s="45">
        <f>IF(OR(E149="",G149=""),"",IF(G149=0,"",E149+G149))</f>
        <v/>
      </c>
      <c r="L149" s="45">
        <f>IF(OR(K149="",H149=""),"",K149-H149)</f>
        <v/>
      </c>
      <c r="M149" s="47">
        <f>IF(AND(J149="",L149=""),"",IF(OR(AND(J149&lt;&gt;"",J149&lt;0),AND(L149&lt;&gt;"",L149&lt;0)),"🔴 Überfällig",IF(OR(AND(J149&lt;&gt;"",J149&lt;=30),AND(L149&lt;&gt;"",L149&lt;=1000)),"🟡 Bald fällig","🟢 OK")))</f>
        <v/>
      </c>
      <c r="N149" s="37" t="n"/>
    </row>
    <row r="150">
      <c r="A150" s="31" t="n"/>
      <c r="B150" s="31" t="n"/>
      <c r="C150" s="31" t="n"/>
      <c r="D150" s="31" t="n"/>
      <c r="E150" s="31" t="n"/>
      <c r="F150" s="31" t="n"/>
      <c r="G150" s="31" t="n"/>
      <c r="H150" s="45">
        <f>IFERROR(VLOOKUP(A150,F_Tabelle,10,FALSE),"")</f>
        <v/>
      </c>
      <c r="I150" s="46">
        <f>IF(OR(D150="",F150=""),"",IF(F150=0,"",EDATE(D150,F150)))</f>
        <v/>
      </c>
      <c r="J150" s="47">
        <f>IF(I150="","",I150-TODAY())</f>
        <v/>
      </c>
      <c r="K150" s="45">
        <f>IF(OR(E150="",G150=""),"",IF(G150=0,"",E150+G150))</f>
        <v/>
      </c>
      <c r="L150" s="45">
        <f>IF(OR(K150="",H150=""),"",K150-H150)</f>
        <v/>
      </c>
      <c r="M150" s="47">
        <f>IF(AND(J150="",L150=""),"",IF(OR(AND(J150&lt;&gt;"",J150&lt;0),AND(L150&lt;&gt;"",L150&lt;0)),"🔴 Überfällig",IF(OR(AND(J150&lt;&gt;"",J150&lt;=30),AND(L150&lt;&gt;"",L150&lt;=1000)),"🟡 Bald fällig","🟢 OK")))</f>
        <v/>
      </c>
      <c r="N150" s="35" t="n"/>
    </row>
    <row r="151">
      <c r="A151" s="29" t="n"/>
      <c r="B151" s="29" t="n"/>
      <c r="C151" s="29" t="n"/>
      <c r="D151" s="29" t="n"/>
      <c r="E151" s="29" t="n"/>
      <c r="F151" s="29" t="n"/>
      <c r="G151" s="29" t="n"/>
      <c r="H151" s="45">
        <f>IFERROR(VLOOKUP(A151,F_Tabelle,10,FALSE),"")</f>
        <v/>
      </c>
      <c r="I151" s="46">
        <f>IF(OR(D151="",F151=""),"",IF(F151=0,"",EDATE(D151,F151)))</f>
        <v/>
      </c>
      <c r="J151" s="47">
        <f>IF(I151="","",I151-TODAY())</f>
        <v/>
      </c>
      <c r="K151" s="45">
        <f>IF(OR(E151="",G151=""),"",IF(G151=0,"",E151+G151))</f>
        <v/>
      </c>
      <c r="L151" s="45">
        <f>IF(OR(K151="",H151=""),"",K151-H151)</f>
        <v/>
      </c>
      <c r="M151" s="47">
        <f>IF(AND(J151="",L151=""),"",IF(OR(AND(J151&lt;&gt;"",J151&lt;0),AND(L151&lt;&gt;"",L151&lt;0)),"🔴 Überfällig",IF(OR(AND(J151&lt;&gt;"",J151&lt;=30),AND(L151&lt;&gt;"",L151&lt;=1000)),"🟡 Bald fällig","🟢 OK")))</f>
        <v/>
      </c>
      <c r="N151" s="37" t="n"/>
    </row>
    <row r="152">
      <c r="A152" s="31" t="n"/>
      <c r="B152" s="31" t="n"/>
      <c r="C152" s="31" t="n"/>
      <c r="D152" s="31" t="n"/>
      <c r="E152" s="31" t="n"/>
      <c r="F152" s="31" t="n"/>
      <c r="G152" s="31" t="n"/>
      <c r="H152" s="45">
        <f>IFERROR(VLOOKUP(A152,F_Tabelle,10,FALSE),"")</f>
        <v/>
      </c>
      <c r="I152" s="46">
        <f>IF(OR(D152="",F152=""),"",IF(F152=0,"",EDATE(D152,F152)))</f>
        <v/>
      </c>
      <c r="J152" s="47">
        <f>IF(I152="","",I152-TODAY())</f>
        <v/>
      </c>
      <c r="K152" s="45">
        <f>IF(OR(E152="",G152=""),"",IF(G152=0,"",E152+G152))</f>
        <v/>
      </c>
      <c r="L152" s="45">
        <f>IF(OR(K152="",H152=""),"",K152-H152)</f>
        <v/>
      </c>
      <c r="M152" s="47">
        <f>IF(AND(J152="",L152=""),"",IF(OR(AND(J152&lt;&gt;"",J152&lt;0),AND(L152&lt;&gt;"",L152&lt;0)),"🔴 Überfällig",IF(OR(AND(J152&lt;&gt;"",J152&lt;=30),AND(L152&lt;&gt;"",L152&lt;=1000)),"🟡 Bald fällig","🟢 OK")))</f>
        <v/>
      </c>
      <c r="N152" s="35" t="n"/>
    </row>
    <row r="153">
      <c r="A153" s="29" t="n"/>
      <c r="B153" s="29" t="n"/>
      <c r="C153" s="29" t="n"/>
      <c r="D153" s="29" t="n"/>
      <c r="E153" s="29" t="n"/>
      <c r="F153" s="29" t="n"/>
      <c r="G153" s="29" t="n"/>
      <c r="H153" s="45">
        <f>IFERROR(VLOOKUP(A153,F_Tabelle,10,FALSE),"")</f>
        <v/>
      </c>
      <c r="I153" s="46">
        <f>IF(OR(D153="",F153=""),"",IF(F153=0,"",EDATE(D153,F153)))</f>
        <v/>
      </c>
      <c r="J153" s="47">
        <f>IF(I153="","",I153-TODAY())</f>
        <v/>
      </c>
      <c r="K153" s="45">
        <f>IF(OR(E153="",G153=""),"",IF(G153=0,"",E153+G153))</f>
        <v/>
      </c>
      <c r="L153" s="45">
        <f>IF(OR(K153="",H153=""),"",K153-H153)</f>
        <v/>
      </c>
      <c r="M153" s="47">
        <f>IF(AND(J153="",L153=""),"",IF(OR(AND(J153&lt;&gt;"",J153&lt;0),AND(L153&lt;&gt;"",L153&lt;0)),"🔴 Überfällig",IF(OR(AND(J153&lt;&gt;"",J153&lt;=30),AND(L153&lt;&gt;"",L153&lt;=1000)),"🟡 Bald fällig","🟢 OK")))</f>
        <v/>
      </c>
      <c r="N153" s="37" t="n"/>
    </row>
    <row r="154">
      <c r="A154" s="31" t="n"/>
      <c r="B154" s="31" t="n"/>
      <c r="C154" s="31" t="n"/>
      <c r="D154" s="31" t="n"/>
      <c r="E154" s="31" t="n"/>
      <c r="F154" s="31" t="n"/>
      <c r="G154" s="31" t="n"/>
      <c r="H154" s="45">
        <f>IFERROR(VLOOKUP(A154,F_Tabelle,10,FALSE),"")</f>
        <v/>
      </c>
      <c r="I154" s="46">
        <f>IF(OR(D154="",F154=""),"",IF(F154=0,"",EDATE(D154,F154)))</f>
        <v/>
      </c>
      <c r="J154" s="47">
        <f>IF(I154="","",I154-TODAY())</f>
        <v/>
      </c>
      <c r="K154" s="45">
        <f>IF(OR(E154="",G154=""),"",IF(G154=0,"",E154+G154))</f>
        <v/>
      </c>
      <c r="L154" s="45">
        <f>IF(OR(K154="",H154=""),"",K154-H154)</f>
        <v/>
      </c>
      <c r="M154" s="47">
        <f>IF(AND(J154="",L154=""),"",IF(OR(AND(J154&lt;&gt;"",J154&lt;0),AND(L154&lt;&gt;"",L154&lt;0)),"🔴 Überfällig",IF(OR(AND(J154&lt;&gt;"",J154&lt;=30),AND(L154&lt;&gt;"",L154&lt;=1000)),"🟡 Bald fällig","🟢 OK")))</f>
        <v/>
      </c>
      <c r="N154" s="35" t="n"/>
    </row>
    <row r="155">
      <c r="A155" s="29" t="n"/>
      <c r="B155" s="29" t="n"/>
      <c r="C155" s="29" t="n"/>
      <c r="D155" s="29" t="n"/>
      <c r="E155" s="29" t="n"/>
      <c r="F155" s="29" t="n"/>
      <c r="G155" s="29" t="n"/>
      <c r="H155" s="45">
        <f>IFERROR(VLOOKUP(A155,F_Tabelle,10,FALSE),"")</f>
        <v/>
      </c>
      <c r="I155" s="46">
        <f>IF(OR(D155="",F155=""),"",IF(F155=0,"",EDATE(D155,F155)))</f>
        <v/>
      </c>
      <c r="J155" s="47">
        <f>IF(I155="","",I155-TODAY())</f>
        <v/>
      </c>
      <c r="K155" s="45">
        <f>IF(OR(E155="",G155=""),"",IF(G155=0,"",E155+G155))</f>
        <v/>
      </c>
      <c r="L155" s="45">
        <f>IF(OR(K155="",H155=""),"",K155-H155)</f>
        <v/>
      </c>
      <c r="M155" s="47">
        <f>IF(AND(J155="",L155=""),"",IF(OR(AND(J155&lt;&gt;"",J155&lt;0),AND(L155&lt;&gt;"",L155&lt;0)),"🔴 Überfällig",IF(OR(AND(J155&lt;&gt;"",J155&lt;=30),AND(L155&lt;&gt;"",L155&lt;=1000)),"🟡 Bald fällig","🟢 OK")))</f>
        <v/>
      </c>
      <c r="N155" s="37" t="n"/>
    </row>
    <row r="156">
      <c r="A156" s="31" t="n"/>
      <c r="B156" s="31" t="n"/>
      <c r="C156" s="31" t="n"/>
      <c r="D156" s="31" t="n"/>
      <c r="E156" s="31" t="n"/>
      <c r="F156" s="31" t="n"/>
      <c r="G156" s="31" t="n"/>
      <c r="H156" s="45">
        <f>IFERROR(VLOOKUP(A156,F_Tabelle,10,FALSE),"")</f>
        <v/>
      </c>
      <c r="I156" s="46">
        <f>IF(OR(D156="",F156=""),"",IF(F156=0,"",EDATE(D156,F156)))</f>
        <v/>
      </c>
      <c r="J156" s="47">
        <f>IF(I156="","",I156-TODAY())</f>
        <v/>
      </c>
      <c r="K156" s="45">
        <f>IF(OR(E156="",G156=""),"",IF(G156=0,"",E156+G156))</f>
        <v/>
      </c>
      <c r="L156" s="45">
        <f>IF(OR(K156="",H156=""),"",K156-H156)</f>
        <v/>
      </c>
      <c r="M156" s="47">
        <f>IF(AND(J156="",L156=""),"",IF(OR(AND(J156&lt;&gt;"",J156&lt;0),AND(L156&lt;&gt;"",L156&lt;0)),"🔴 Überfällig",IF(OR(AND(J156&lt;&gt;"",J156&lt;=30),AND(L156&lt;&gt;"",L156&lt;=1000)),"🟡 Bald fällig","🟢 OK")))</f>
        <v/>
      </c>
      <c r="N156" s="35" t="n"/>
    </row>
    <row r="157">
      <c r="A157" s="29" t="n"/>
      <c r="B157" s="29" t="n"/>
      <c r="C157" s="29" t="n"/>
      <c r="D157" s="29" t="n"/>
      <c r="E157" s="29" t="n"/>
      <c r="F157" s="29" t="n"/>
      <c r="G157" s="29" t="n"/>
      <c r="H157" s="45">
        <f>IFERROR(VLOOKUP(A157,F_Tabelle,10,FALSE),"")</f>
        <v/>
      </c>
      <c r="I157" s="46">
        <f>IF(OR(D157="",F157=""),"",IF(F157=0,"",EDATE(D157,F157)))</f>
        <v/>
      </c>
      <c r="J157" s="47">
        <f>IF(I157="","",I157-TODAY())</f>
        <v/>
      </c>
      <c r="K157" s="45">
        <f>IF(OR(E157="",G157=""),"",IF(G157=0,"",E157+G157))</f>
        <v/>
      </c>
      <c r="L157" s="45">
        <f>IF(OR(K157="",H157=""),"",K157-H157)</f>
        <v/>
      </c>
      <c r="M157" s="47">
        <f>IF(AND(J157="",L157=""),"",IF(OR(AND(J157&lt;&gt;"",J157&lt;0),AND(L157&lt;&gt;"",L157&lt;0)),"🔴 Überfällig",IF(OR(AND(J157&lt;&gt;"",J157&lt;=30),AND(L157&lt;&gt;"",L157&lt;=1000)),"🟡 Bald fällig","🟢 OK")))</f>
        <v/>
      </c>
      <c r="N157" s="37" t="n"/>
    </row>
    <row r="158">
      <c r="A158" s="31" t="n"/>
      <c r="B158" s="31" t="n"/>
      <c r="C158" s="31" t="n"/>
      <c r="D158" s="31" t="n"/>
      <c r="E158" s="31" t="n"/>
      <c r="F158" s="31" t="n"/>
      <c r="G158" s="31" t="n"/>
      <c r="H158" s="45">
        <f>IFERROR(VLOOKUP(A158,F_Tabelle,10,FALSE),"")</f>
        <v/>
      </c>
      <c r="I158" s="46">
        <f>IF(OR(D158="",F158=""),"",IF(F158=0,"",EDATE(D158,F158)))</f>
        <v/>
      </c>
      <c r="J158" s="47">
        <f>IF(I158="","",I158-TODAY())</f>
        <v/>
      </c>
      <c r="K158" s="45">
        <f>IF(OR(E158="",G158=""),"",IF(G158=0,"",E158+G158))</f>
        <v/>
      </c>
      <c r="L158" s="45">
        <f>IF(OR(K158="",H158=""),"",K158-H158)</f>
        <v/>
      </c>
      <c r="M158" s="47">
        <f>IF(AND(J158="",L158=""),"",IF(OR(AND(J158&lt;&gt;"",J158&lt;0),AND(L158&lt;&gt;"",L158&lt;0)),"🔴 Überfällig",IF(OR(AND(J158&lt;&gt;"",J158&lt;=30),AND(L158&lt;&gt;"",L158&lt;=1000)),"🟡 Bald fällig","🟢 OK")))</f>
        <v/>
      </c>
      <c r="N158" s="35" t="n"/>
    </row>
    <row r="159">
      <c r="A159" s="29" t="n"/>
      <c r="B159" s="29" t="n"/>
      <c r="C159" s="29" t="n"/>
      <c r="D159" s="29" t="n"/>
      <c r="E159" s="29" t="n"/>
      <c r="F159" s="29" t="n"/>
      <c r="G159" s="29" t="n"/>
      <c r="H159" s="45">
        <f>IFERROR(VLOOKUP(A159,F_Tabelle,10,FALSE),"")</f>
        <v/>
      </c>
      <c r="I159" s="46">
        <f>IF(OR(D159="",F159=""),"",IF(F159=0,"",EDATE(D159,F159)))</f>
        <v/>
      </c>
      <c r="J159" s="47">
        <f>IF(I159="","",I159-TODAY())</f>
        <v/>
      </c>
      <c r="K159" s="45">
        <f>IF(OR(E159="",G159=""),"",IF(G159=0,"",E159+G159))</f>
        <v/>
      </c>
      <c r="L159" s="45">
        <f>IF(OR(K159="",H159=""),"",K159-H159)</f>
        <v/>
      </c>
      <c r="M159" s="47">
        <f>IF(AND(J159="",L159=""),"",IF(OR(AND(J159&lt;&gt;"",J159&lt;0),AND(L159&lt;&gt;"",L159&lt;0)),"🔴 Überfällig",IF(OR(AND(J159&lt;&gt;"",J159&lt;=30),AND(L159&lt;&gt;"",L159&lt;=1000)),"🟡 Bald fällig","🟢 OK")))</f>
        <v/>
      </c>
      <c r="N159" s="37" t="n"/>
    </row>
    <row r="160">
      <c r="A160" s="31" t="n"/>
      <c r="B160" s="31" t="n"/>
      <c r="C160" s="31" t="n"/>
      <c r="D160" s="31" t="n"/>
      <c r="E160" s="31" t="n"/>
      <c r="F160" s="31" t="n"/>
      <c r="G160" s="31" t="n"/>
      <c r="H160" s="45">
        <f>IFERROR(VLOOKUP(A160,F_Tabelle,10,FALSE),"")</f>
        <v/>
      </c>
      <c r="I160" s="46">
        <f>IF(OR(D160="",F160=""),"",IF(F160=0,"",EDATE(D160,F160)))</f>
        <v/>
      </c>
      <c r="J160" s="47">
        <f>IF(I160="","",I160-TODAY())</f>
        <v/>
      </c>
      <c r="K160" s="45">
        <f>IF(OR(E160="",G160=""),"",IF(G160=0,"",E160+G160))</f>
        <v/>
      </c>
      <c r="L160" s="45">
        <f>IF(OR(K160="",H160=""),"",K160-H160)</f>
        <v/>
      </c>
      <c r="M160" s="47">
        <f>IF(AND(J160="",L160=""),"",IF(OR(AND(J160&lt;&gt;"",J160&lt;0),AND(L160&lt;&gt;"",L160&lt;0)),"🔴 Überfällig",IF(OR(AND(J160&lt;&gt;"",J160&lt;=30),AND(L160&lt;&gt;"",L160&lt;=1000)),"🟡 Bald fällig","🟢 OK")))</f>
        <v/>
      </c>
      <c r="N160" s="35" t="n"/>
    </row>
    <row r="161">
      <c r="A161" s="29" t="n"/>
      <c r="B161" s="29" t="n"/>
      <c r="C161" s="29" t="n"/>
      <c r="D161" s="29" t="n"/>
      <c r="E161" s="29" t="n"/>
      <c r="F161" s="29" t="n"/>
      <c r="G161" s="29" t="n"/>
      <c r="H161" s="45">
        <f>IFERROR(VLOOKUP(A161,F_Tabelle,10,FALSE),"")</f>
        <v/>
      </c>
      <c r="I161" s="46">
        <f>IF(OR(D161="",F161=""),"",IF(F161=0,"",EDATE(D161,F161)))</f>
        <v/>
      </c>
      <c r="J161" s="47">
        <f>IF(I161="","",I161-TODAY())</f>
        <v/>
      </c>
      <c r="K161" s="45">
        <f>IF(OR(E161="",G161=""),"",IF(G161=0,"",E161+G161))</f>
        <v/>
      </c>
      <c r="L161" s="45">
        <f>IF(OR(K161="",H161=""),"",K161-H161)</f>
        <v/>
      </c>
      <c r="M161" s="47">
        <f>IF(AND(J161="",L161=""),"",IF(OR(AND(J161&lt;&gt;"",J161&lt;0),AND(L161&lt;&gt;"",L161&lt;0)),"🔴 Überfällig",IF(OR(AND(J161&lt;&gt;"",J161&lt;=30),AND(L161&lt;&gt;"",L161&lt;=1000)),"🟡 Bald fällig","🟢 OK")))</f>
        <v/>
      </c>
      <c r="N161" s="37" t="n"/>
    </row>
    <row r="162">
      <c r="A162" s="31" t="n"/>
      <c r="B162" s="31" t="n"/>
      <c r="C162" s="31" t="n"/>
      <c r="D162" s="31" t="n"/>
      <c r="E162" s="31" t="n"/>
      <c r="F162" s="31" t="n"/>
      <c r="G162" s="31" t="n"/>
      <c r="H162" s="45">
        <f>IFERROR(VLOOKUP(A162,F_Tabelle,10,FALSE),"")</f>
        <v/>
      </c>
      <c r="I162" s="46">
        <f>IF(OR(D162="",F162=""),"",IF(F162=0,"",EDATE(D162,F162)))</f>
        <v/>
      </c>
      <c r="J162" s="47">
        <f>IF(I162="","",I162-TODAY())</f>
        <v/>
      </c>
      <c r="K162" s="45">
        <f>IF(OR(E162="",G162=""),"",IF(G162=0,"",E162+G162))</f>
        <v/>
      </c>
      <c r="L162" s="45">
        <f>IF(OR(K162="",H162=""),"",K162-H162)</f>
        <v/>
      </c>
      <c r="M162" s="47">
        <f>IF(AND(J162="",L162=""),"",IF(OR(AND(J162&lt;&gt;"",J162&lt;0),AND(L162&lt;&gt;"",L162&lt;0)),"🔴 Überfällig",IF(OR(AND(J162&lt;&gt;"",J162&lt;=30),AND(L162&lt;&gt;"",L162&lt;=1000)),"🟡 Bald fällig","🟢 OK")))</f>
        <v/>
      </c>
      <c r="N162" s="35" t="n"/>
    </row>
    <row r="163">
      <c r="A163" s="29" t="n"/>
      <c r="B163" s="29" t="n"/>
      <c r="C163" s="29" t="n"/>
      <c r="D163" s="29" t="n"/>
      <c r="E163" s="29" t="n"/>
      <c r="F163" s="29" t="n"/>
      <c r="G163" s="29" t="n"/>
      <c r="H163" s="45">
        <f>IFERROR(VLOOKUP(A163,F_Tabelle,10,FALSE),"")</f>
        <v/>
      </c>
      <c r="I163" s="46">
        <f>IF(OR(D163="",F163=""),"",IF(F163=0,"",EDATE(D163,F163)))</f>
        <v/>
      </c>
      <c r="J163" s="47">
        <f>IF(I163="","",I163-TODAY())</f>
        <v/>
      </c>
      <c r="K163" s="45">
        <f>IF(OR(E163="",G163=""),"",IF(G163=0,"",E163+G163))</f>
        <v/>
      </c>
      <c r="L163" s="45">
        <f>IF(OR(K163="",H163=""),"",K163-H163)</f>
        <v/>
      </c>
      <c r="M163" s="47">
        <f>IF(AND(J163="",L163=""),"",IF(OR(AND(J163&lt;&gt;"",J163&lt;0),AND(L163&lt;&gt;"",L163&lt;0)),"🔴 Überfällig",IF(OR(AND(J163&lt;&gt;"",J163&lt;=30),AND(L163&lt;&gt;"",L163&lt;=1000)),"🟡 Bald fällig","🟢 OK")))</f>
        <v/>
      </c>
      <c r="N163" s="37" t="n"/>
    </row>
    <row r="164">
      <c r="A164" s="31" t="n"/>
      <c r="B164" s="31" t="n"/>
      <c r="C164" s="31" t="n"/>
      <c r="D164" s="31" t="n"/>
      <c r="E164" s="31" t="n"/>
      <c r="F164" s="31" t="n"/>
      <c r="G164" s="31" t="n"/>
      <c r="H164" s="45">
        <f>IFERROR(VLOOKUP(A164,F_Tabelle,10,FALSE),"")</f>
        <v/>
      </c>
      <c r="I164" s="46">
        <f>IF(OR(D164="",F164=""),"",IF(F164=0,"",EDATE(D164,F164)))</f>
        <v/>
      </c>
      <c r="J164" s="47">
        <f>IF(I164="","",I164-TODAY())</f>
        <v/>
      </c>
      <c r="K164" s="45">
        <f>IF(OR(E164="",G164=""),"",IF(G164=0,"",E164+G164))</f>
        <v/>
      </c>
      <c r="L164" s="45">
        <f>IF(OR(K164="",H164=""),"",K164-H164)</f>
        <v/>
      </c>
      <c r="M164" s="47">
        <f>IF(AND(J164="",L164=""),"",IF(OR(AND(J164&lt;&gt;"",J164&lt;0),AND(L164&lt;&gt;"",L164&lt;0)),"🔴 Überfällig",IF(OR(AND(J164&lt;&gt;"",J164&lt;=30),AND(L164&lt;&gt;"",L164&lt;=1000)),"🟡 Bald fällig","🟢 OK")))</f>
        <v/>
      </c>
      <c r="N164" s="35" t="n"/>
    </row>
    <row r="165">
      <c r="A165" s="29" t="n"/>
      <c r="B165" s="29" t="n"/>
      <c r="C165" s="29" t="n"/>
      <c r="D165" s="29" t="n"/>
      <c r="E165" s="29" t="n"/>
      <c r="F165" s="29" t="n"/>
      <c r="G165" s="29" t="n"/>
      <c r="H165" s="45">
        <f>IFERROR(VLOOKUP(A165,F_Tabelle,10,FALSE),"")</f>
        <v/>
      </c>
      <c r="I165" s="46">
        <f>IF(OR(D165="",F165=""),"",IF(F165=0,"",EDATE(D165,F165)))</f>
        <v/>
      </c>
      <c r="J165" s="47">
        <f>IF(I165="","",I165-TODAY())</f>
        <v/>
      </c>
      <c r="K165" s="45">
        <f>IF(OR(E165="",G165=""),"",IF(G165=0,"",E165+G165))</f>
        <v/>
      </c>
      <c r="L165" s="45">
        <f>IF(OR(K165="",H165=""),"",K165-H165)</f>
        <v/>
      </c>
      <c r="M165" s="47">
        <f>IF(AND(J165="",L165=""),"",IF(OR(AND(J165&lt;&gt;"",J165&lt;0),AND(L165&lt;&gt;"",L165&lt;0)),"🔴 Überfällig",IF(OR(AND(J165&lt;&gt;"",J165&lt;=30),AND(L165&lt;&gt;"",L165&lt;=1000)),"🟡 Bald fällig","🟢 OK")))</f>
        <v/>
      </c>
      <c r="N165" s="37" t="n"/>
    </row>
    <row r="166">
      <c r="A166" s="31" t="n"/>
      <c r="B166" s="31" t="n"/>
      <c r="C166" s="31" t="n"/>
      <c r="D166" s="31" t="n"/>
      <c r="E166" s="31" t="n"/>
      <c r="F166" s="31" t="n"/>
      <c r="G166" s="31" t="n"/>
      <c r="H166" s="45">
        <f>IFERROR(VLOOKUP(A166,F_Tabelle,10,FALSE),"")</f>
        <v/>
      </c>
      <c r="I166" s="46">
        <f>IF(OR(D166="",F166=""),"",IF(F166=0,"",EDATE(D166,F166)))</f>
        <v/>
      </c>
      <c r="J166" s="47">
        <f>IF(I166="","",I166-TODAY())</f>
        <v/>
      </c>
      <c r="K166" s="45">
        <f>IF(OR(E166="",G166=""),"",IF(G166=0,"",E166+G166))</f>
        <v/>
      </c>
      <c r="L166" s="45">
        <f>IF(OR(K166="",H166=""),"",K166-H166)</f>
        <v/>
      </c>
      <c r="M166" s="47">
        <f>IF(AND(J166="",L166=""),"",IF(OR(AND(J166&lt;&gt;"",J166&lt;0),AND(L166&lt;&gt;"",L166&lt;0)),"🔴 Überfällig",IF(OR(AND(J166&lt;&gt;"",J166&lt;=30),AND(L166&lt;&gt;"",L166&lt;=1000)),"🟡 Bald fällig","🟢 OK")))</f>
        <v/>
      </c>
      <c r="N166" s="35" t="n"/>
    </row>
    <row r="167">
      <c r="A167" s="29" t="n"/>
      <c r="B167" s="29" t="n"/>
      <c r="C167" s="29" t="n"/>
      <c r="D167" s="29" t="n"/>
      <c r="E167" s="29" t="n"/>
      <c r="F167" s="29" t="n"/>
      <c r="G167" s="29" t="n"/>
      <c r="H167" s="45">
        <f>IFERROR(VLOOKUP(A167,F_Tabelle,10,FALSE),"")</f>
        <v/>
      </c>
      <c r="I167" s="46">
        <f>IF(OR(D167="",F167=""),"",IF(F167=0,"",EDATE(D167,F167)))</f>
        <v/>
      </c>
      <c r="J167" s="47">
        <f>IF(I167="","",I167-TODAY())</f>
        <v/>
      </c>
      <c r="K167" s="45">
        <f>IF(OR(E167="",G167=""),"",IF(G167=0,"",E167+G167))</f>
        <v/>
      </c>
      <c r="L167" s="45">
        <f>IF(OR(K167="",H167=""),"",K167-H167)</f>
        <v/>
      </c>
      <c r="M167" s="47">
        <f>IF(AND(J167="",L167=""),"",IF(OR(AND(J167&lt;&gt;"",J167&lt;0),AND(L167&lt;&gt;"",L167&lt;0)),"🔴 Überfällig",IF(OR(AND(J167&lt;&gt;"",J167&lt;=30),AND(L167&lt;&gt;"",L167&lt;=1000)),"🟡 Bald fällig","🟢 OK")))</f>
        <v/>
      </c>
      <c r="N167" s="37" t="n"/>
    </row>
    <row r="168">
      <c r="A168" s="31" t="n"/>
      <c r="B168" s="31" t="n"/>
      <c r="C168" s="31" t="n"/>
      <c r="D168" s="31" t="n"/>
      <c r="E168" s="31" t="n"/>
      <c r="F168" s="31" t="n"/>
      <c r="G168" s="31" t="n"/>
      <c r="H168" s="45">
        <f>IFERROR(VLOOKUP(A168,F_Tabelle,10,FALSE),"")</f>
        <v/>
      </c>
      <c r="I168" s="46">
        <f>IF(OR(D168="",F168=""),"",IF(F168=0,"",EDATE(D168,F168)))</f>
        <v/>
      </c>
      <c r="J168" s="47">
        <f>IF(I168="","",I168-TODAY())</f>
        <v/>
      </c>
      <c r="K168" s="45">
        <f>IF(OR(E168="",G168=""),"",IF(G168=0,"",E168+G168))</f>
        <v/>
      </c>
      <c r="L168" s="45">
        <f>IF(OR(K168="",H168=""),"",K168-H168)</f>
        <v/>
      </c>
      <c r="M168" s="47">
        <f>IF(AND(J168="",L168=""),"",IF(OR(AND(J168&lt;&gt;"",J168&lt;0),AND(L168&lt;&gt;"",L168&lt;0)),"🔴 Überfällig",IF(OR(AND(J168&lt;&gt;"",J168&lt;=30),AND(L168&lt;&gt;"",L168&lt;=1000)),"🟡 Bald fällig","🟢 OK")))</f>
        <v/>
      </c>
      <c r="N168" s="35" t="n"/>
    </row>
    <row r="169">
      <c r="A169" s="29" t="n"/>
      <c r="B169" s="29" t="n"/>
      <c r="C169" s="29" t="n"/>
      <c r="D169" s="29" t="n"/>
      <c r="E169" s="29" t="n"/>
      <c r="F169" s="29" t="n"/>
      <c r="G169" s="29" t="n"/>
      <c r="H169" s="45">
        <f>IFERROR(VLOOKUP(A169,F_Tabelle,10,FALSE),"")</f>
        <v/>
      </c>
      <c r="I169" s="46">
        <f>IF(OR(D169="",F169=""),"",IF(F169=0,"",EDATE(D169,F169)))</f>
        <v/>
      </c>
      <c r="J169" s="47">
        <f>IF(I169="","",I169-TODAY())</f>
        <v/>
      </c>
      <c r="K169" s="45">
        <f>IF(OR(E169="",G169=""),"",IF(G169=0,"",E169+G169))</f>
        <v/>
      </c>
      <c r="L169" s="45">
        <f>IF(OR(K169="",H169=""),"",K169-H169)</f>
        <v/>
      </c>
      <c r="M169" s="47">
        <f>IF(AND(J169="",L169=""),"",IF(OR(AND(J169&lt;&gt;"",J169&lt;0),AND(L169&lt;&gt;"",L169&lt;0)),"🔴 Überfällig",IF(OR(AND(J169&lt;&gt;"",J169&lt;=30),AND(L169&lt;&gt;"",L169&lt;=1000)),"🟡 Bald fällig","🟢 OK")))</f>
        <v/>
      </c>
      <c r="N169" s="37" t="n"/>
    </row>
    <row r="170">
      <c r="A170" s="31" t="n"/>
      <c r="B170" s="31" t="n"/>
      <c r="C170" s="31" t="n"/>
      <c r="D170" s="31" t="n"/>
      <c r="E170" s="31" t="n"/>
      <c r="F170" s="31" t="n"/>
      <c r="G170" s="31" t="n"/>
      <c r="H170" s="45">
        <f>IFERROR(VLOOKUP(A170,F_Tabelle,10,FALSE),"")</f>
        <v/>
      </c>
      <c r="I170" s="46">
        <f>IF(OR(D170="",F170=""),"",IF(F170=0,"",EDATE(D170,F170)))</f>
        <v/>
      </c>
      <c r="J170" s="47">
        <f>IF(I170="","",I170-TODAY())</f>
        <v/>
      </c>
      <c r="K170" s="45">
        <f>IF(OR(E170="",G170=""),"",IF(G170=0,"",E170+G170))</f>
        <v/>
      </c>
      <c r="L170" s="45">
        <f>IF(OR(K170="",H170=""),"",K170-H170)</f>
        <v/>
      </c>
      <c r="M170" s="47">
        <f>IF(AND(J170="",L170=""),"",IF(OR(AND(J170&lt;&gt;"",J170&lt;0),AND(L170&lt;&gt;"",L170&lt;0)),"🔴 Überfällig",IF(OR(AND(J170&lt;&gt;"",J170&lt;=30),AND(L170&lt;&gt;"",L170&lt;=1000)),"🟡 Bald fällig","🟢 OK")))</f>
        <v/>
      </c>
      <c r="N170" s="35" t="n"/>
    </row>
    <row r="171">
      <c r="A171" s="29" t="n"/>
      <c r="B171" s="29" t="n"/>
      <c r="C171" s="29" t="n"/>
      <c r="D171" s="29" t="n"/>
      <c r="E171" s="29" t="n"/>
      <c r="F171" s="29" t="n"/>
      <c r="G171" s="29" t="n"/>
      <c r="H171" s="45">
        <f>IFERROR(VLOOKUP(A171,F_Tabelle,10,FALSE),"")</f>
        <v/>
      </c>
      <c r="I171" s="46">
        <f>IF(OR(D171="",F171=""),"",IF(F171=0,"",EDATE(D171,F171)))</f>
        <v/>
      </c>
      <c r="J171" s="47">
        <f>IF(I171="","",I171-TODAY())</f>
        <v/>
      </c>
      <c r="K171" s="45">
        <f>IF(OR(E171="",G171=""),"",IF(G171=0,"",E171+G171))</f>
        <v/>
      </c>
      <c r="L171" s="45">
        <f>IF(OR(K171="",H171=""),"",K171-H171)</f>
        <v/>
      </c>
      <c r="M171" s="47">
        <f>IF(AND(J171="",L171=""),"",IF(OR(AND(J171&lt;&gt;"",J171&lt;0),AND(L171&lt;&gt;"",L171&lt;0)),"🔴 Überfällig",IF(OR(AND(J171&lt;&gt;"",J171&lt;=30),AND(L171&lt;&gt;"",L171&lt;=1000)),"🟡 Bald fällig","🟢 OK")))</f>
        <v/>
      </c>
      <c r="N171" s="37" t="n"/>
    </row>
    <row r="172">
      <c r="A172" s="31" t="n"/>
      <c r="B172" s="31" t="n"/>
      <c r="C172" s="31" t="n"/>
      <c r="D172" s="31" t="n"/>
      <c r="E172" s="31" t="n"/>
      <c r="F172" s="31" t="n"/>
      <c r="G172" s="31" t="n"/>
      <c r="H172" s="45">
        <f>IFERROR(VLOOKUP(A172,F_Tabelle,10,FALSE),"")</f>
        <v/>
      </c>
      <c r="I172" s="46">
        <f>IF(OR(D172="",F172=""),"",IF(F172=0,"",EDATE(D172,F172)))</f>
        <v/>
      </c>
      <c r="J172" s="47">
        <f>IF(I172="","",I172-TODAY())</f>
        <v/>
      </c>
      <c r="K172" s="45">
        <f>IF(OR(E172="",G172=""),"",IF(G172=0,"",E172+G172))</f>
        <v/>
      </c>
      <c r="L172" s="45">
        <f>IF(OR(K172="",H172=""),"",K172-H172)</f>
        <v/>
      </c>
      <c r="M172" s="47">
        <f>IF(AND(J172="",L172=""),"",IF(OR(AND(J172&lt;&gt;"",J172&lt;0),AND(L172&lt;&gt;"",L172&lt;0)),"🔴 Überfällig",IF(OR(AND(J172&lt;&gt;"",J172&lt;=30),AND(L172&lt;&gt;"",L172&lt;=1000)),"🟡 Bald fällig","🟢 OK")))</f>
        <v/>
      </c>
      <c r="N172" s="35" t="n"/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45">
        <f>IFERROR(VLOOKUP(A173,F_Tabelle,10,FALSE),"")</f>
        <v/>
      </c>
      <c r="I173" s="46">
        <f>IF(OR(D173="",F173=""),"",IF(F173=0,"",EDATE(D173,F173)))</f>
        <v/>
      </c>
      <c r="J173" s="47">
        <f>IF(I173="","",I173-TODAY())</f>
        <v/>
      </c>
      <c r="K173" s="45">
        <f>IF(OR(E173="",G173=""),"",IF(G173=0,"",E173+G173))</f>
        <v/>
      </c>
      <c r="L173" s="45">
        <f>IF(OR(K173="",H173=""),"",K173-H173)</f>
        <v/>
      </c>
      <c r="M173" s="47">
        <f>IF(AND(J173="",L173=""),"",IF(OR(AND(J173&lt;&gt;"",J173&lt;0),AND(L173&lt;&gt;"",L173&lt;0)),"🔴 Überfällig",IF(OR(AND(J173&lt;&gt;"",J173&lt;=30),AND(L173&lt;&gt;"",L173&lt;=1000)),"🟡 Bald fällig","🟢 OK")))</f>
        <v/>
      </c>
      <c r="N173" s="37" t="n"/>
    </row>
    <row r="174">
      <c r="A174" s="31" t="n"/>
      <c r="B174" s="31" t="n"/>
      <c r="C174" s="31" t="n"/>
      <c r="D174" s="31" t="n"/>
      <c r="E174" s="31" t="n"/>
      <c r="F174" s="31" t="n"/>
      <c r="G174" s="31" t="n"/>
      <c r="H174" s="45">
        <f>IFERROR(VLOOKUP(A174,F_Tabelle,10,FALSE),"")</f>
        <v/>
      </c>
      <c r="I174" s="46">
        <f>IF(OR(D174="",F174=""),"",IF(F174=0,"",EDATE(D174,F174)))</f>
        <v/>
      </c>
      <c r="J174" s="47">
        <f>IF(I174="","",I174-TODAY())</f>
        <v/>
      </c>
      <c r="K174" s="45">
        <f>IF(OR(E174="",G174=""),"",IF(G174=0,"",E174+G174))</f>
        <v/>
      </c>
      <c r="L174" s="45">
        <f>IF(OR(K174="",H174=""),"",K174-H174)</f>
        <v/>
      </c>
      <c r="M174" s="47">
        <f>IF(AND(J174="",L174=""),"",IF(OR(AND(J174&lt;&gt;"",J174&lt;0),AND(L174&lt;&gt;"",L174&lt;0)),"🔴 Überfällig",IF(OR(AND(J174&lt;&gt;"",J174&lt;=30),AND(L174&lt;&gt;"",L174&lt;=1000)),"🟡 Bald fällig","🟢 OK")))</f>
        <v/>
      </c>
      <c r="N174" s="35" t="n"/>
    </row>
    <row r="175">
      <c r="A175" s="29" t="n"/>
      <c r="B175" s="29" t="n"/>
      <c r="C175" s="29" t="n"/>
      <c r="D175" s="29" t="n"/>
      <c r="E175" s="29" t="n"/>
      <c r="F175" s="29" t="n"/>
      <c r="G175" s="29" t="n"/>
      <c r="H175" s="45">
        <f>IFERROR(VLOOKUP(A175,F_Tabelle,10,FALSE),"")</f>
        <v/>
      </c>
      <c r="I175" s="46">
        <f>IF(OR(D175="",F175=""),"",IF(F175=0,"",EDATE(D175,F175)))</f>
        <v/>
      </c>
      <c r="J175" s="47">
        <f>IF(I175="","",I175-TODAY())</f>
        <v/>
      </c>
      <c r="K175" s="45">
        <f>IF(OR(E175="",G175=""),"",IF(G175=0,"",E175+G175))</f>
        <v/>
      </c>
      <c r="L175" s="45">
        <f>IF(OR(K175="",H175=""),"",K175-H175)</f>
        <v/>
      </c>
      <c r="M175" s="47">
        <f>IF(AND(J175="",L175=""),"",IF(OR(AND(J175&lt;&gt;"",J175&lt;0),AND(L175&lt;&gt;"",L175&lt;0)),"🔴 Überfällig",IF(OR(AND(J175&lt;&gt;"",J175&lt;=30),AND(L175&lt;&gt;"",L175&lt;=1000)),"🟡 Bald fällig","🟢 OK")))</f>
        <v/>
      </c>
      <c r="N175" s="37" t="n"/>
    </row>
    <row r="176">
      <c r="A176" s="31" t="n"/>
      <c r="B176" s="31" t="n"/>
      <c r="C176" s="31" t="n"/>
      <c r="D176" s="31" t="n"/>
      <c r="E176" s="31" t="n"/>
      <c r="F176" s="31" t="n"/>
      <c r="G176" s="31" t="n"/>
      <c r="H176" s="45">
        <f>IFERROR(VLOOKUP(A176,F_Tabelle,10,FALSE),"")</f>
        <v/>
      </c>
      <c r="I176" s="46">
        <f>IF(OR(D176="",F176=""),"",IF(F176=0,"",EDATE(D176,F176)))</f>
        <v/>
      </c>
      <c r="J176" s="47">
        <f>IF(I176="","",I176-TODAY())</f>
        <v/>
      </c>
      <c r="K176" s="45">
        <f>IF(OR(E176="",G176=""),"",IF(G176=0,"",E176+G176))</f>
        <v/>
      </c>
      <c r="L176" s="45">
        <f>IF(OR(K176="",H176=""),"",K176-H176)</f>
        <v/>
      </c>
      <c r="M176" s="47">
        <f>IF(AND(J176="",L176=""),"",IF(OR(AND(J176&lt;&gt;"",J176&lt;0),AND(L176&lt;&gt;"",L176&lt;0)),"🔴 Überfällig",IF(OR(AND(J176&lt;&gt;"",J176&lt;=30),AND(L176&lt;&gt;"",L176&lt;=1000)),"🟡 Bald fällig","🟢 OK")))</f>
        <v/>
      </c>
      <c r="N176" s="35" t="n"/>
    </row>
    <row r="177">
      <c r="A177" s="29" t="n"/>
      <c r="B177" s="29" t="n"/>
      <c r="C177" s="29" t="n"/>
      <c r="D177" s="29" t="n"/>
      <c r="E177" s="29" t="n"/>
      <c r="F177" s="29" t="n"/>
      <c r="G177" s="29" t="n"/>
      <c r="H177" s="45">
        <f>IFERROR(VLOOKUP(A177,F_Tabelle,10,FALSE),"")</f>
        <v/>
      </c>
      <c r="I177" s="46">
        <f>IF(OR(D177="",F177=""),"",IF(F177=0,"",EDATE(D177,F177)))</f>
        <v/>
      </c>
      <c r="J177" s="47">
        <f>IF(I177="","",I177-TODAY())</f>
        <v/>
      </c>
      <c r="K177" s="45">
        <f>IF(OR(E177="",G177=""),"",IF(G177=0,"",E177+G177))</f>
        <v/>
      </c>
      <c r="L177" s="45">
        <f>IF(OR(K177="",H177=""),"",K177-H177)</f>
        <v/>
      </c>
      <c r="M177" s="47">
        <f>IF(AND(J177="",L177=""),"",IF(OR(AND(J177&lt;&gt;"",J177&lt;0),AND(L177&lt;&gt;"",L177&lt;0)),"🔴 Überfällig",IF(OR(AND(J177&lt;&gt;"",J177&lt;=30),AND(L177&lt;&gt;"",L177&lt;=1000)),"🟡 Bald fällig","🟢 OK")))</f>
        <v/>
      </c>
      <c r="N177" s="37" t="n"/>
    </row>
    <row r="178">
      <c r="A178" s="31" t="n"/>
      <c r="B178" s="31" t="n"/>
      <c r="C178" s="31" t="n"/>
      <c r="D178" s="31" t="n"/>
      <c r="E178" s="31" t="n"/>
      <c r="F178" s="31" t="n"/>
      <c r="G178" s="31" t="n"/>
      <c r="H178" s="45">
        <f>IFERROR(VLOOKUP(A178,F_Tabelle,10,FALSE),"")</f>
        <v/>
      </c>
      <c r="I178" s="46">
        <f>IF(OR(D178="",F178=""),"",IF(F178=0,"",EDATE(D178,F178)))</f>
        <v/>
      </c>
      <c r="J178" s="47">
        <f>IF(I178="","",I178-TODAY())</f>
        <v/>
      </c>
      <c r="K178" s="45">
        <f>IF(OR(E178="",G178=""),"",IF(G178=0,"",E178+G178))</f>
        <v/>
      </c>
      <c r="L178" s="45">
        <f>IF(OR(K178="",H178=""),"",K178-H178)</f>
        <v/>
      </c>
      <c r="M178" s="47">
        <f>IF(AND(J178="",L178=""),"",IF(OR(AND(J178&lt;&gt;"",J178&lt;0),AND(L178&lt;&gt;"",L178&lt;0)),"🔴 Überfällig",IF(OR(AND(J178&lt;&gt;"",J178&lt;=30),AND(L178&lt;&gt;"",L178&lt;=1000)),"🟡 Bald fällig","🟢 OK")))</f>
        <v/>
      </c>
      <c r="N178" s="35" t="n"/>
    </row>
    <row r="179">
      <c r="A179" s="29" t="n"/>
      <c r="B179" s="29" t="n"/>
      <c r="C179" s="29" t="n"/>
      <c r="D179" s="29" t="n"/>
      <c r="E179" s="29" t="n"/>
      <c r="F179" s="29" t="n"/>
      <c r="G179" s="29" t="n"/>
      <c r="H179" s="45">
        <f>IFERROR(VLOOKUP(A179,F_Tabelle,10,FALSE),"")</f>
        <v/>
      </c>
      <c r="I179" s="46">
        <f>IF(OR(D179="",F179=""),"",IF(F179=0,"",EDATE(D179,F179)))</f>
        <v/>
      </c>
      <c r="J179" s="47">
        <f>IF(I179="","",I179-TODAY())</f>
        <v/>
      </c>
      <c r="K179" s="45">
        <f>IF(OR(E179="",G179=""),"",IF(G179=0,"",E179+G179))</f>
        <v/>
      </c>
      <c r="L179" s="45">
        <f>IF(OR(K179="",H179=""),"",K179-H179)</f>
        <v/>
      </c>
      <c r="M179" s="47">
        <f>IF(AND(J179="",L179=""),"",IF(OR(AND(J179&lt;&gt;"",J179&lt;0),AND(L179&lt;&gt;"",L179&lt;0)),"🔴 Überfällig",IF(OR(AND(J179&lt;&gt;"",J179&lt;=30),AND(L179&lt;&gt;"",L179&lt;=1000)),"🟡 Bald fällig","🟢 OK")))</f>
        <v/>
      </c>
      <c r="N179" s="37" t="n"/>
    </row>
    <row r="180">
      <c r="A180" s="31" t="n"/>
      <c r="B180" s="31" t="n"/>
      <c r="C180" s="31" t="n"/>
      <c r="D180" s="31" t="n"/>
      <c r="E180" s="31" t="n"/>
      <c r="F180" s="31" t="n"/>
      <c r="G180" s="31" t="n"/>
      <c r="H180" s="45">
        <f>IFERROR(VLOOKUP(A180,F_Tabelle,10,FALSE),"")</f>
        <v/>
      </c>
      <c r="I180" s="46">
        <f>IF(OR(D180="",F180=""),"",IF(F180=0,"",EDATE(D180,F180)))</f>
        <v/>
      </c>
      <c r="J180" s="47">
        <f>IF(I180="","",I180-TODAY())</f>
        <v/>
      </c>
      <c r="K180" s="45">
        <f>IF(OR(E180="",G180=""),"",IF(G180=0,"",E180+G180))</f>
        <v/>
      </c>
      <c r="L180" s="45">
        <f>IF(OR(K180="",H180=""),"",K180-H180)</f>
        <v/>
      </c>
      <c r="M180" s="47">
        <f>IF(AND(J180="",L180=""),"",IF(OR(AND(J180&lt;&gt;"",J180&lt;0),AND(L180&lt;&gt;"",L180&lt;0)),"🔴 Überfällig",IF(OR(AND(J180&lt;&gt;"",J180&lt;=30),AND(L180&lt;&gt;"",L180&lt;=1000)),"🟡 Bald fällig","🟢 OK")))</f>
        <v/>
      </c>
      <c r="N180" s="35" t="n"/>
    </row>
    <row r="181">
      <c r="A181" s="29" t="n"/>
      <c r="B181" s="29" t="n"/>
      <c r="C181" s="29" t="n"/>
      <c r="D181" s="29" t="n"/>
      <c r="E181" s="29" t="n"/>
      <c r="F181" s="29" t="n"/>
      <c r="G181" s="29" t="n"/>
      <c r="H181" s="45">
        <f>IFERROR(VLOOKUP(A181,F_Tabelle,10,FALSE),"")</f>
        <v/>
      </c>
      <c r="I181" s="46">
        <f>IF(OR(D181="",F181=""),"",IF(F181=0,"",EDATE(D181,F181)))</f>
        <v/>
      </c>
      <c r="J181" s="47">
        <f>IF(I181="","",I181-TODAY())</f>
        <v/>
      </c>
      <c r="K181" s="45">
        <f>IF(OR(E181="",G181=""),"",IF(G181=0,"",E181+G181))</f>
        <v/>
      </c>
      <c r="L181" s="45">
        <f>IF(OR(K181="",H181=""),"",K181-H181)</f>
        <v/>
      </c>
      <c r="M181" s="47">
        <f>IF(AND(J181="",L181=""),"",IF(OR(AND(J181&lt;&gt;"",J181&lt;0),AND(L181&lt;&gt;"",L181&lt;0)),"🔴 Überfällig",IF(OR(AND(J181&lt;&gt;"",J181&lt;=30),AND(L181&lt;&gt;"",L181&lt;=1000)),"🟡 Bald fällig","🟢 OK")))</f>
        <v/>
      </c>
      <c r="N181" s="37" t="n"/>
    </row>
    <row r="182">
      <c r="A182" s="31" t="n"/>
      <c r="B182" s="31" t="n"/>
      <c r="C182" s="31" t="n"/>
      <c r="D182" s="31" t="n"/>
      <c r="E182" s="31" t="n"/>
      <c r="F182" s="31" t="n"/>
      <c r="G182" s="31" t="n"/>
      <c r="H182" s="45">
        <f>IFERROR(VLOOKUP(A182,F_Tabelle,10,FALSE),"")</f>
        <v/>
      </c>
      <c r="I182" s="46">
        <f>IF(OR(D182="",F182=""),"",IF(F182=0,"",EDATE(D182,F182)))</f>
        <v/>
      </c>
      <c r="J182" s="47">
        <f>IF(I182="","",I182-TODAY())</f>
        <v/>
      </c>
      <c r="K182" s="45">
        <f>IF(OR(E182="",G182=""),"",IF(G182=0,"",E182+G182))</f>
        <v/>
      </c>
      <c r="L182" s="45">
        <f>IF(OR(K182="",H182=""),"",K182-H182)</f>
        <v/>
      </c>
      <c r="M182" s="47">
        <f>IF(AND(J182="",L182=""),"",IF(OR(AND(J182&lt;&gt;"",J182&lt;0),AND(L182&lt;&gt;"",L182&lt;0)),"🔴 Überfällig",IF(OR(AND(J182&lt;&gt;"",J182&lt;=30),AND(L182&lt;&gt;"",L182&lt;=1000)),"🟡 Bald fällig","🟢 OK")))</f>
        <v/>
      </c>
      <c r="N182" s="35" t="n"/>
    </row>
    <row r="183">
      <c r="A183" s="29" t="n"/>
      <c r="B183" s="29" t="n"/>
      <c r="C183" s="29" t="n"/>
      <c r="D183" s="29" t="n"/>
      <c r="E183" s="29" t="n"/>
      <c r="F183" s="29" t="n"/>
      <c r="G183" s="29" t="n"/>
      <c r="H183" s="45">
        <f>IFERROR(VLOOKUP(A183,F_Tabelle,10,FALSE),"")</f>
        <v/>
      </c>
      <c r="I183" s="46">
        <f>IF(OR(D183="",F183=""),"",IF(F183=0,"",EDATE(D183,F183)))</f>
        <v/>
      </c>
      <c r="J183" s="47">
        <f>IF(I183="","",I183-TODAY())</f>
        <v/>
      </c>
      <c r="K183" s="45">
        <f>IF(OR(E183="",G183=""),"",IF(G183=0,"",E183+G183))</f>
        <v/>
      </c>
      <c r="L183" s="45">
        <f>IF(OR(K183="",H183=""),"",K183-H183)</f>
        <v/>
      </c>
      <c r="M183" s="47">
        <f>IF(AND(J183="",L183=""),"",IF(OR(AND(J183&lt;&gt;"",J183&lt;0),AND(L183&lt;&gt;"",L183&lt;0)),"🔴 Überfällig",IF(OR(AND(J183&lt;&gt;"",J183&lt;=30),AND(L183&lt;&gt;"",L183&lt;=1000)),"🟡 Bald fällig","🟢 OK")))</f>
        <v/>
      </c>
      <c r="N183" s="37" t="n"/>
    </row>
    <row r="184">
      <c r="A184" s="31" t="n"/>
      <c r="B184" s="31" t="n"/>
      <c r="C184" s="31" t="n"/>
      <c r="D184" s="31" t="n"/>
      <c r="E184" s="31" t="n"/>
      <c r="F184" s="31" t="n"/>
      <c r="G184" s="31" t="n"/>
      <c r="H184" s="45">
        <f>IFERROR(VLOOKUP(A184,F_Tabelle,10,FALSE),"")</f>
        <v/>
      </c>
      <c r="I184" s="46">
        <f>IF(OR(D184="",F184=""),"",IF(F184=0,"",EDATE(D184,F184)))</f>
        <v/>
      </c>
      <c r="J184" s="47">
        <f>IF(I184="","",I184-TODAY())</f>
        <v/>
      </c>
      <c r="K184" s="45">
        <f>IF(OR(E184="",G184=""),"",IF(G184=0,"",E184+G184))</f>
        <v/>
      </c>
      <c r="L184" s="45">
        <f>IF(OR(K184="",H184=""),"",K184-H184)</f>
        <v/>
      </c>
      <c r="M184" s="47">
        <f>IF(AND(J184="",L184=""),"",IF(OR(AND(J184&lt;&gt;"",J184&lt;0),AND(L184&lt;&gt;"",L184&lt;0)),"🔴 Überfällig",IF(OR(AND(J184&lt;&gt;"",J184&lt;=30),AND(L184&lt;&gt;"",L184&lt;=1000)),"🟡 Bald fällig","🟢 OK")))</f>
        <v/>
      </c>
      <c r="N184" s="35" t="n"/>
    </row>
    <row r="185">
      <c r="A185" s="29" t="n"/>
      <c r="B185" s="29" t="n"/>
      <c r="C185" s="29" t="n"/>
      <c r="D185" s="29" t="n"/>
      <c r="E185" s="29" t="n"/>
      <c r="F185" s="29" t="n"/>
      <c r="G185" s="29" t="n"/>
      <c r="H185" s="45">
        <f>IFERROR(VLOOKUP(A185,F_Tabelle,10,FALSE),"")</f>
        <v/>
      </c>
      <c r="I185" s="46">
        <f>IF(OR(D185="",F185=""),"",IF(F185=0,"",EDATE(D185,F185)))</f>
        <v/>
      </c>
      <c r="J185" s="47">
        <f>IF(I185="","",I185-TODAY())</f>
        <v/>
      </c>
      <c r="K185" s="45">
        <f>IF(OR(E185="",G185=""),"",IF(G185=0,"",E185+G185))</f>
        <v/>
      </c>
      <c r="L185" s="45">
        <f>IF(OR(K185="",H185=""),"",K185-H185)</f>
        <v/>
      </c>
      <c r="M185" s="47">
        <f>IF(AND(J185="",L185=""),"",IF(OR(AND(J185&lt;&gt;"",J185&lt;0),AND(L185&lt;&gt;"",L185&lt;0)),"🔴 Überfällig",IF(OR(AND(J185&lt;&gt;"",J185&lt;=30),AND(L185&lt;&gt;"",L185&lt;=1000)),"🟡 Bald fällig","🟢 OK")))</f>
        <v/>
      </c>
      <c r="N185" s="37" t="n"/>
    </row>
    <row r="186">
      <c r="A186" s="31" t="n"/>
      <c r="B186" s="31" t="n"/>
      <c r="C186" s="31" t="n"/>
      <c r="D186" s="31" t="n"/>
      <c r="E186" s="31" t="n"/>
      <c r="F186" s="31" t="n"/>
      <c r="G186" s="31" t="n"/>
      <c r="H186" s="45">
        <f>IFERROR(VLOOKUP(A186,F_Tabelle,10,FALSE),"")</f>
        <v/>
      </c>
      <c r="I186" s="46">
        <f>IF(OR(D186="",F186=""),"",IF(F186=0,"",EDATE(D186,F186)))</f>
        <v/>
      </c>
      <c r="J186" s="47">
        <f>IF(I186="","",I186-TODAY())</f>
        <v/>
      </c>
      <c r="K186" s="45">
        <f>IF(OR(E186="",G186=""),"",IF(G186=0,"",E186+G186))</f>
        <v/>
      </c>
      <c r="L186" s="45">
        <f>IF(OR(K186="",H186=""),"",K186-H186)</f>
        <v/>
      </c>
      <c r="M186" s="47">
        <f>IF(AND(J186="",L186=""),"",IF(OR(AND(J186&lt;&gt;"",J186&lt;0),AND(L186&lt;&gt;"",L186&lt;0)),"🔴 Überfällig",IF(OR(AND(J186&lt;&gt;"",J186&lt;=30),AND(L186&lt;&gt;"",L186&lt;=1000)),"🟡 Bald fällig","🟢 OK")))</f>
        <v/>
      </c>
      <c r="N186" s="35" t="n"/>
    </row>
    <row r="187">
      <c r="A187" s="29" t="n"/>
      <c r="B187" s="29" t="n"/>
      <c r="C187" s="29" t="n"/>
      <c r="D187" s="29" t="n"/>
      <c r="E187" s="29" t="n"/>
      <c r="F187" s="29" t="n"/>
      <c r="G187" s="29" t="n"/>
      <c r="H187" s="45">
        <f>IFERROR(VLOOKUP(A187,F_Tabelle,10,FALSE),"")</f>
        <v/>
      </c>
      <c r="I187" s="46">
        <f>IF(OR(D187="",F187=""),"",IF(F187=0,"",EDATE(D187,F187)))</f>
        <v/>
      </c>
      <c r="J187" s="47">
        <f>IF(I187="","",I187-TODAY())</f>
        <v/>
      </c>
      <c r="K187" s="45">
        <f>IF(OR(E187="",G187=""),"",IF(G187=0,"",E187+G187))</f>
        <v/>
      </c>
      <c r="L187" s="45">
        <f>IF(OR(K187="",H187=""),"",K187-H187)</f>
        <v/>
      </c>
      <c r="M187" s="47">
        <f>IF(AND(J187="",L187=""),"",IF(OR(AND(J187&lt;&gt;"",J187&lt;0),AND(L187&lt;&gt;"",L187&lt;0)),"🔴 Überfällig",IF(OR(AND(J187&lt;&gt;"",J187&lt;=30),AND(L187&lt;&gt;"",L187&lt;=1000)),"🟡 Bald fällig","🟢 OK")))</f>
        <v/>
      </c>
      <c r="N187" s="37" t="n"/>
    </row>
    <row r="188">
      <c r="A188" s="31" t="n"/>
      <c r="B188" s="31" t="n"/>
      <c r="C188" s="31" t="n"/>
      <c r="D188" s="31" t="n"/>
      <c r="E188" s="31" t="n"/>
      <c r="F188" s="31" t="n"/>
      <c r="G188" s="31" t="n"/>
      <c r="H188" s="45">
        <f>IFERROR(VLOOKUP(A188,F_Tabelle,10,FALSE),"")</f>
        <v/>
      </c>
      <c r="I188" s="46">
        <f>IF(OR(D188="",F188=""),"",IF(F188=0,"",EDATE(D188,F188)))</f>
        <v/>
      </c>
      <c r="J188" s="47">
        <f>IF(I188="","",I188-TODAY())</f>
        <v/>
      </c>
      <c r="K188" s="45">
        <f>IF(OR(E188="",G188=""),"",IF(G188=0,"",E188+G188))</f>
        <v/>
      </c>
      <c r="L188" s="45">
        <f>IF(OR(K188="",H188=""),"",K188-H188)</f>
        <v/>
      </c>
      <c r="M188" s="47">
        <f>IF(AND(J188="",L188=""),"",IF(OR(AND(J188&lt;&gt;"",J188&lt;0),AND(L188&lt;&gt;"",L188&lt;0)),"🔴 Überfällig",IF(OR(AND(J188&lt;&gt;"",J188&lt;=30),AND(L188&lt;&gt;"",L188&lt;=1000)),"🟡 Bald fällig","🟢 OK")))</f>
        <v/>
      </c>
      <c r="N188" s="35" t="n"/>
    </row>
    <row r="189">
      <c r="A189" s="29" t="n"/>
      <c r="B189" s="29" t="n"/>
      <c r="C189" s="29" t="n"/>
      <c r="D189" s="29" t="n"/>
      <c r="E189" s="29" t="n"/>
      <c r="F189" s="29" t="n"/>
      <c r="G189" s="29" t="n"/>
      <c r="H189" s="45">
        <f>IFERROR(VLOOKUP(A189,F_Tabelle,10,FALSE),"")</f>
        <v/>
      </c>
      <c r="I189" s="46">
        <f>IF(OR(D189="",F189=""),"",IF(F189=0,"",EDATE(D189,F189)))</f>
        <v/>
      </c>
      <c r="J189" s="47">
        <f>IF(I189="","",I189-TODAY())</f>
        <v/>
      </c>
      <c r="K189" s="45">
        <f>IF(OR(E189="",G189=""),"",IF(G189=0,"",E189+G189))</f>
        <v/>
      </c>
      <c r="L189" s="45">
        <f>IF(OR(K189="",H189=""),"",K189-H189)</f>
        <v/>
      </c>
      <c r="M189" s="47">
        <f>IF(AND(J189="",L189=""),"",IF(OR(AND(J189&lt;&gt;"",J189&lt;0),AND(L189&lt;&gt;"",L189&lt;0)),"🔴 Überfällig",IF(OR(AND(J189&lt;&gt;"",J189&lt;=30),AND(L189&lt;&gt;"",L189&lt;=1000)),"🟡 Bald fällig","🟢 OK")))</f>
        <v/>
      </c>
      <c r="N189" s="37" t="n"/>
    </row>
    <row r="190">
      <c r="A190" s="31" t="n"/>
      <c r="B190" s="31" t="n"/>
      <c r="C190" s="31" t="n"/>
      <c r="D190" s="31" t="n"/>
      <c r="E190" s="31" t="n"/>
      <c r="F190" s="31" t="n"/>
      <c r="G190" s="31" t="n"/>
      <c r="H190" s="45">
        <f>IFERROR(VLOOKUP(A190,F_Tabelle,10,FALSE),"")</f>
        <v/>
      </c>
      <c r="I190" s="46">
        <f>IF(OR(D190="",F190=""),"",IF(F190=0,"",EDATE(D190,F190)))</f>
        <v/>
      </c>
      <c r="J190" s="47">
        <f>IF(I190="","",I190-TODAY())</f>
        <v/>
      </c>
      <c r="K190" s="45">
        <f>IF(OR(E190="",G190=""),"",IF(G190=0,"",E190+G190))</f>
        <v/>
      </c>
      <c r="L190" s="45">
        <f>IF(OR(K190="",H190=""),"",K190-H190)</f>
        <v/>
      </c>
      <c r="M190" s="47">
        <f>IF(AND(J190="",L190=""),"",IF(OR(AND(J190&lt;&gt;"",J190&lt;0),AND(L190&lt;&gt;"",L190&lt;0)),"🔴 Überfällig",IF(OR(AND(J190&lt;&gt;"",J190&lt;=30),AND(L190&lt;&gt;"",L190&lt;=1000)),"🟡 Bald fällig","🟢 OK")))</f>
        <v/>
      </c>
      <c r="N190" s="35" t="n"/>
    </row>
    <row r="191">
      <c r="A191" s="29" t="n"/>
      <c r="B191" s="29" t="n"/>
      <c r="C191" s="29" t="n"/>
      <c r="D191" s="29" t="n"/>
      <c r="E191" s="29" t="n"/>
      <c r="F191" s="29" t="n"/>
      <c r="G191" s="29" t="n"/>
      <c r="H191" s="45">
        <f>IFERROR(VLOOKUP(A191,F_Tabelle,10,FALSE),"")</f>
        <v/>
      </c>
      <c r="I191" s="46">
        <f>IF(OR(D191="",F191=""),"",IF(F191=0,"",EDATE(D191,F191)))</f>
        <v/>
      </c>
      <c r="J191" s="47">
        <f>IF(I191="","",I191-TODAY())</f>
        <v/>
      </c>
      <c r="K191" s="45">
        <f>IF(OR(E191="",G191=""),"",IF(G191=0,"",E191+G191))</f>
        <v/>
      </c>
      <c r="L191" s="45">
        <f>IF(OR(K191="",H191=""),"",K191-H191)</f>
        <v/>
      </c>
      <c r="M191" s="47">
        <f>IF(AND(J191="",L191=""),"",IF(OR(AND(J191&lt;&gt;"",J191&lt;0),AND(L191&lt;&gt;"",L191&lt;0)),"🔴 Überfällig",IF(OR(AND(J191&lt;&gt;"",J191&lt;=30),AND(L191&lt;&gt;"",L191&lt;=1000)),"🟡 Bald fällig","🟢 OK")))</f>
        <v/>
      </c>
      <c r="N191" s="37" t="n"/>
    </row>
    <row r="192">
      <c r="A192" s="31" t="n"/>
      <c r="B192" s="31" t="n"/>
      <c r="C192" s="31" t="n"/>
      <c r="D192" s="31" t="n"/>
      <c r="E192" s="31" t="n"/>
      <c r="F192" s="31" t="n"/>
      <c r="G192" s="31" t="n"/>
      <c r="H192" s="45">
        <f>IFERROR(VLOOKUP(A192,F_Tabelle,10,FALSE),"")</f>
        <v/>
      </c>
      <c r="I192" s="46">
        <f>IF(OR(D192="",F192=""),"",IF(F192=0,"",EDATE(D192,F192)))</f>
        <v/>
      </c>
      <c r="J192" s="47">
        <f>IF(I192="","",I192-TODAY())</f>
        <v/>
      </c>
      <c r="K192" s="45">
        <f>IF(OR(E192="",G192=""),"",IF(G192=0,"",E192+G192))</f>
        <v/>
      </c>
      <c r="L192" s="45">
        <f>IF(OR(K192="",H192=""),"",K192-H192)</f>
        <v/>
      </c>
      <c r="M192" s="47">
        <f>IF(AND(J192="",L192=""),"",IF(OR(AND(J192&lt;&gt;"",J192&lt;0),AND(L192&lt;&gt;"",L192&lt;0)),"🔴 Überfällig",IF(OR(AND(J192&lt;&gt;"",J192&lt;=30),AND(L192&lt;&gt;"",L192&lt;=1000)),"🟡 Bald fällig","🟢 OK")))</f>
        <v/>
      </c>
      <c r="N192" s="35" t="n"/>
    </row>
    <row r="193">
      <c r="A193" s="29" t="n"/>
      <c r="B193" s="29" t="n"/>
      <c r="C193" s="29" t="n"/>
      <c r="D193" s="29" t="n"/>
      <c r="E193" s="29" t="n"/>
      <c r="F193" s="29" t="n"/>
      <c r="G193" s="29" t="n"/>
      <c r="H193" s="45">
        <f>IFERROR(VLOOKUP(A193,F_Tabelle,10,FALSE),"")</f>
        <v/>
      </c>
      <c r="I193" s="46">
        <f>IF(OR(D193="",F193=""),"",IF(F193=0,"",EDATE(D193,F193)))</f>
        <v/>
      </c>
      <c r="J193" s="47">
        <f>IF(I193="","",I193-TODAY())</f>
        <v/>
      </c>
      <c r="K193" s="45">
        <f>IF(OR(E193="",G193=""),"",IF(G193=0,"",E193+G193))</f>
        <v/>
      </c>
      <c r="L193" s="45">
        <f>IF(OR(K193="",H193=""),"",K193-H193)</f>
        <v/>
      </c>
      <c r="M193" s="47">
        <f>IF(AND(J193="",L193=""),"",IF(OR(AND(J193&lt;&gt;"",J193&lt;0),AND(L193&lt;&gt;"",L193&lt;0)),"🔴 Überfällig",IF(OR(AND(J193&lt;&gt;"",J193&lt;=30),AND(L193&lt;&gt;"",L193&lt;=1000)),"🟡 Bald fällig","🟢 OK")))</f>
        <v/>
      </c>
      <c r="N193" s="37" t="n"/>
    </row>
    <row r="194">
      <c r="A194" s="31" t="n"/>
      <c r="B194" s="31" t="n"/>
      <c r="C194" s="31" t="n"/>
      <c r="D194" s="31" t="n"/>
      <c r="E194" s="31" t="n"/>
      <c r="F194" s="31" t="n"/>
      <c r="G194" s="31" t="n"/>
      <c r="H194" s="45">
        <f>IFERROR(VLOOKUP(A194,F_Tabelle,10,FALSE),"")</f>
        <v/>
      </c>
      <c r="I194" s="46">
        <f>IF(OR(D194="",F194=""),"",IF(F194=0,"",EDATE(D194,F194)))</f>
        <v/>
      </c>
      <c r="J194" s="47">
        <f>IF(I194="","",I194-TODAY())</f>
        <v/>
      </c>
      <c r="K194" s="45">
        <f>IF(OR(E194="",G194=""),"",IF(G194=0,"",E194+G194))</f>
        <v/>
      </c>
      <c r="L194" s="45">
        <f>IF(OR(K194="",H194=""),"",K194-H194)</f>
        <v/>
      </c>
      <c r="M194" s="47">
        <f>IF(AND(J194="",L194=""),"",IF(OR(AND(J194&lt;&gt;"",J194&lt;0),AND(L194&lt;&gt;"",L194&lt;0)),"🔴 Überfällig",IF(OR(AND(J194&lt;&gt;"",J194&lt;=30),AND(L194&lt;&gt;"",L194&lt;=1000)),"🟡 Bald fällig","🟢 OK")))</f>
        <v/>
      </c>
      <c r="N194" s="35" t="n"/>
    </row>
    <row r="195">
      <c r="A195" s="29" t="n"/>
      <c r="B195" s="29" t="n"/>
      <c r="C195" s="29" t="n"/>
      <c r="D195" s="29" t="n"/>
      <c r="E195" s="29" t="n"/>
      <c r="F195" s="29" t="n"/>
      <c r="G195" s="29" t="n"/>
      <c r="H195" s="45">
        <f>IFERROR(VLOOKUP(A195,F_Tabelle,10,FALSE),"")</f>
        <v/>
      </c>
      <c r="I195" s="46">
        <f>IF(OR(D195="",F195=""),"",IF(F195=0,"",EDATE(D195,F195)))</f>
        <v/>
      </c>
      <c r="J195" s="47">
        <f>IF(I195="","",I195-TODAY())</f>
        <v/>
      </c>
      <c r="K195" s="45">
        <f>IF(OR(E195="",G195=""),"",IF(G195=0,"",E195+G195))</f>
        <v/>
      </c>
      <c r="L195" s="45">
        <f>IF(OR(K195="",H195=""),"",K195-H195)</f>
        <v/>
      </c>
      <c r="M195" s="47">
        <f>IF(AND(J195="",L195=""),"",IF(OR(AND(J195&lt;&gt;"",J195&lt;0),AND(L195&lt;&gt;"",L195&lt;0)),"🔴 Überfällig",IF(OR(AND(J195&lt;&gt;"",J195&lt;=30),AND(L195&lt;&gt;"",L195&lt;=1000)),"🟡 Bald fällig","🟢 OK")))</f>
        <v/>
      </c>
      <c r="N195" s="37" t="n"/>
    </row>
    <row r="196">
      <c r="A196" s="31" t="n"/>
      <c r="B196" s="31" t="n"/>
      <c r="C196" s="31" t="n"/>
      <c r="D196" s="31" t="n"/>
      <c r="E196" s="31" t="n"/>
      <c r="F196" s="31" t="n"/>
      <c r="G196" s="31" t="n"/>
      <c r="H196" s="45">
        <f>IFERROR(VLOOKUP(A196,F_Tabelle,10,FALSE),"")</f>
        <v/>
      </c>
      <c r="I196" s="46">
        <f>IF(OR(D196="",F196=""),"",IF(F196=0,"",EDATE(D196,F196)))</f>
        <v/>
      </c>
      <c r="J196" s="47">
        <f>IF(I196="","",I196-TODAY())</f>
        <v/>
      </c>
      <c r="K196" s="45">
        <f>IF(OR(E196="",G196=""),"",IF(G196=0,"",E196+G196))</f>
        <v/>
      </c>
      <c r="L196" s="45">
        <f>IF(OR(K196="",H196=""),"",K196-H196)</f>
        <v/>
      </c>
      <c r="M196" s="47">
        <f>IF(AND(J196="",L196=""),"",IF(OR(AND(J196&lt;&gt;"",J196&lt;0),AND(L196&lt;&gt;"",L196&lt;0)),"🔴 Überfällig",IF(OR(AND(J196&lt;&gt;"",J196&lt;=30),AND(L196&lt;&gt;"",L196&lt;=1000)),"🟡 Bald fällig","🟢 OK")))</f>
        <v/>
      </c>
      <c r="N196" s="35" t="n"/>
    </row>
    <row r="197">
      <c r="A197" s="29" t="n"/>
      <c r="B197" s="29" t="n"/>
      <c r="C197" s="29" t="n"/>
      <c r="D197" s="29" t="n"/>
      <c r="E197" s="29" t="n"/>
      <c r="F197" s="29" t="n"/>
      <c r="G197" s="29" t="n"/>
      <c r="H197" s="45">
        <f>IFERROR(VLOOKUP(A197,F_Tabelle,10,FALSE),"")</f>
        <v/>
      </c>
      <c r="I197" s="46">
        <f>IF(OR(D197="",F197=""),"",IF(F197=0,"",EDATE(D197,F197)))</f>
        <v/>
      </c>
      <c r="J197" s="47">
        <f>IF(I197="","",I197-TODAY())</f>
        <v/>
      </c>
      <c r="K197" s="45">
        <f>IF(OR(E197="",G197=""),"",IF(G197=0,"",E197+G197))</f>
        <v/>
      </c>
      <c r="L197" s="45">
        <f>IF(OR(K197="",H197=""),"",K197-H197)</f>
        <v/>
      </c>
      <c r="M197" s="47">
        <f>IF(AND(J197="",L197=""),"",IF(OR(AND(J197&lt;&gt;"",J197&lt;0),AND(L197&lt;&gt;"",L197&lt;0)),"🔴 Überfällig",IF(OR(AND(J197&lt;&gt;"",J197&lt;=30),AND(L197&lt;&gt;"",L197&lt;=1000)),"🟡 Bald fällig","🟢 OK")))</f>
        <v/>
      </c>
      <c r="N197" s="37" t="n"/>
    </row>
    <row r="198">
      <c r="A198" s="31" t="n"/>
      <c r="B198" s="31" t="n"/>
      <c r="C198" s="31" t="n"/>
      <c r="D198" s="31" t="n"/>
      <c r="E198" s="31" t="n"/>
      <c r="F198" s="31" t="n"/>
      <c r="G198" s="31" t="n"/>
      <c r="H198" s="45">
        <f>IFERROR(VLOOKUP(A198,F_Tabelle,10,FALSE),"")</f>
        <v/>
      </c>
      <c r="I198" s="46">
        <f>IF(OR(D198="",F198=""),"",IF(F198=0,"",EDATE(D198,F198)))</f>
        <v/>
      </c>
      <c r="J198" s="47">
        <f>IF(I198="","",I198-TODAY())</f>
        <v/>
      </c>
      <c r="K198" s="45">
        <f>IF(OR(E198="",G198=""),"",IF(G198=0,"",E198+G198))</f>
        <v/>
      </c>
      <c r="L198" s="45">
        <f>IF(OR(K198="",H198=""),"",K198-H198)</f>
        <v/>
      </c>
      <c r="M198" s="47">
        <f>IF(AND(J198="",L198=""),"",IF(OR(AND(J198&lt;&gt;"",J198&lt;0),AND(L198&lt;&gt;"",L198&lt;0)),"🔴 Überfällig",IF(OR(AND(J198&lt;&gt;"",J198&lt;=30),AND(L198&lt;&gt;"",L198&lt;=1000)),"🟡 Bald fällig","🟢 OK")))</f>
        <v/>
      </c>
      <c r="N198" s="35" t="n"/>
    </row>
    <row r="199">
      <c r="A199" s="29" t="n"/>
      <c r="B199" s="29" t="n"/>
      <c r="C199" s="29" t="n"/>
      <c r="D199" s="29" t="n"/>
      <c r="E199" s="29" t="n"/>
      <c r="F199" s="29" t="n"/>
      <c r="G199" s="29" t="n"/>
      <c r="H199" s="45">
        <f>IFERROR(VLOOKUP(A199,F_Tabelle,10,FALSE),"")</f>
        <v/>
      </c>
      <c r="I199" s="46">
        <f>IF(OR(D199="",F199=""),"",IF(F199=0,"",EDATE(D199,F199)))</f>
        <v/>
      </c>
      <c r="J199" s="47">
        <f>IF(I199="","",I199-TODAY())</f>
        <v/>
      </c>
      <c r="K199" s="45">
        <f>IF(OR(E199="",G199=""),"",IF(G199=0,"",E199+G199))</f>
        <v/>
      </c>
      <c r="L199" s="45">
        <f>IF(OR(K199="",H199=""),"",K199-H199)</f>
        <v/>
      </c>
      <c r="M199" s="47">
        <f>IF(AND(J199="",L199=""),"",IF(OR(AND(J199&lt;&gt;"",J199&lt;0),AND(L199&lt;&gt;"",L199&lt;0)),"🔴 Überfällig",IF(OR(AND(J199&lt;&gt;"",J199&lt;=30),AND(L199&lt;&gt;"",L199&lt;=1000)),"🟡 Bald fällig","🟢 OK")))</f>
        <v/>
      </c>
      <c r="N199" s="37" t="n"/>
    </row>
    <row r="200">
      <c r="A200" s="31" t="n"/>
      <c r="B200" s="31" t="n"/>
      <c r="C200" s="31" t="n"/>
      <c r="D200" s="31" t="n"/>
      <c r="E200" s="31" t="n"/>
      <c r="F200" s="31" t="n"/>
      <c r="G200" s="31" t="n"/>
      <c r="H200" s="45">
        <f>IFERROR(VLOOKUP(A200,F_Tabelle,10,FALSE),"")</f>
        <v/>
      </c>
      <c r="I200" s="46">
        <f>IF(OR(D200="",F200=""),"",IF(F200=0,"",EDATE(D200,F200)))</f>
        <v/>
      </c>
      <c r="J200" s="47">
        <f>IF(I200="","",I200-TODAY())</f>
        <v/>
      </c>
      <c r="K200" s="45">
        <f>IF(OR(E200="",G200=""),"",IF(G200=0,"",E200+G200))</f>
        <v/>
      </c>
      <c r="L200" s="45">
        <f>IF(OR(K200="",H200=""),"",K200-H200)</f>
        <v/>
      </c>
      <c r="M200" s="47">
        <f>IF(AND(J200="",L200=""),"",IF(OR(AND(J200&lt;&gt;"",J200&lt;0),AND(L200&lt;&gt;"",L200&lt;0)),"🔴 Überfällig",IF(OR(AND(J200&lt;&gt;"",J200&lt;=30),AND(L200&lt;&gt;"",L200&lt;=1000)),"🟡 Bald fällig","🟢 OK")))</f>
        <v/>
      </c>
      <c r="N200" s="35" t="n"/>
    </row>
    <row r="201">
      <c r="A201" s="29" t="n"/>
      <c r="B201" s="29" t="n"/>
      <c r="C201" s="29" t="n"/>
      <c r="D201" s="29" t="n"/>
      <c r="E201" s="29" t="n"/>
      <c r="F201" s="29" t="n"/>
      <c r="G201" s="29" t="n"/>
      <c r="H201" s="45">
        <f>IFERROR(VLOOKUP(A201,F_Tabelle,10,FALSE),"")</f>
        <v/>
      </c>
      <c r="I201" s="46">
        <f>IF(OR(D201="",F201=""),"",IF(F201=0,"",EDATE(D201,F201)))</f>
        <v/>
      </c>
      <c r="J201" s="47">
        <f>IF(I201="","",I201-TODAY())</f>
        <v/>
      </c>
      <c r="K201" s="45">
        <f>IF(OR(E201="",G201=""),"",IF(G201=0,"",E201+G201))</f>
        <v/>
      </c>
      <c r="L201" s="45">
        <f>IF(OR(K201="",H201=""),"",K201-H201)</f>
        <v/>
      </c>
      <c r="M201" s="47">
        <f>IF(AND(J201="",L201=""),"",IF(OR(AND(J201&lt;&gt;"",J201&lt;0),AND(L201&lt;&gt;"",L201&lt;0)),"🔴 Überfällig",IF(OR(AND(J201&lt;&gt;"",J201&lt;=30),AND(L201&lt;&gt;"",L201&lt;=1000)),"🟡 Bald fällig","🟢 OK")))</f>
        <v/>
      </c>
      <c r="N201" s="37" t="n"/>
    </row>
    <row r="202">
      <c r="A202" s="31" t="n"/>
      <c r="B202" s="31" t="n"/>
      <c r="C202" s="31" t="n"/>
      <c r="D202" s="31" t="n"/>
      <c r="E202" s="31" t="n"/>
      <c r="F202" s="31" t="n"/>
      <c r="G202" s="31" t="n"/>
      <c r="H202" s="45">
        <f>IFERROR(VLOOKUP(A202,F_Tabelle,10,FALSE),"")</f>
        <v/>
      </c>
      <c r="I202" s="46">
        <f>IF(OR(D202="",F202=""),"",IF(F202=0,"",EDATE(D202,F202)))</f>
        <v/>
      </c>
      <c r="J202" s="47">
        <f>IF(I202="","",I202-TODAY())</f>
        <v/>
      </c>
      <c r="K202" s="45">
        <f>IF(OR(E202="",G202=""),"",IF(G202=0,"",E202+G202))</f>
        <v/>
      </c>
      <c r="L202" s="45">
        <f>IF(OR(K202="",H202=""),"",K202-H202)</f>
        <v/>
      </c>
      <c r="M202" s="47">
        <f>IF(AND(J202="",L202=""),"",IF(OR(AND(J202&lt;&gt;"",J202&lt;0),AND(L202&lt;&gt;"",L202&lt;0)),"🔴 Überfällig",IF(OR(AND(J202&lt;&gt;"",J202&lt;=30),AND(L202&lt;&gt;"",L202&lt;=1000)),"🟡 Bald fällig","🟢 OK")))</f>
        <v/>
      </c>
      <c r="N202" s="35" t="n"/>
    </row>
    <row r="203">
      <c r="A203" s="29" t="n"/>
      <c r="B203" s="29" t="n"/>
      <c r="C203" s="29" t="n"/>
      <c r="D203" s="29" t="n"/>
      <c r="E203" s="29" t="n"/>
      <c r="F203" s="29" t="n"/>
      <c r="G203" s="29" t="n"/>
      <c r="H203" s="45">
        <f>IFERROR(VLOOKUP(A203,F_Tabelle,10,FALSE),"")</f>
        <v/>
      </c>
      <c r="I203" s="46">
        <f>IF(OR(D203="",F203=""),"",IF(F203=0,"",EDATE(D203,F203)))</f>
        <v/>
      </c>
      <c r="J203" s="47">
        <f>IF(I203="","",I203-TODAY())</f>
        <v/>
      </c>
      <c r="K203" s="45">
        <f>IF(OR(E203="",G203=""),"",IF(G203=0,"",E203+G203))</f>
        <v/>
      </c>
      <c r="L203" s="45">
        <f>IF(OR(K203="",H203=""),"",K203-H203)</f>
        <v/>
      </c>
      <c r="M203" s="47">
        <f>IF(AND(J203="",L203=""),"",IF(OR(AND(J203&lt;&gt;"",J203&lt;0),AND(L203&lt;&gt;"",L203&lt;0)),"🔴 Überfällig",IF(OR(AND(J203&lt;&gt;"",J203&lt;=30),AND(L203&lt;&gt;"",L203&lt;=1000)),"🟡 Bald fällig","🟢 OK")))</f>
        <v/>
      </c>
      <c r="N203" s="37" t="n"/>
    </row>
    <row r="204">
      <c r="A204" s="31" t="n"/>
      <c r="B204" s="31" t="n"/>
      <c r="C204" s="31" t="n"/>
      <c r="D204" s="31" t="n"/>
      <c r="E204" s="31" t="n"/>
      <c r="F204" s="31" t="n"/>
      <c r="G204" s="31" t="n"/>
      <c r="H204" s="45">
        <f>IFERROR(VLOOKUP(A204,F_Tabelle,10,FALSE),"")</f>
        <v/>
      </c>
      <c r="I204" s="46">
        <f>IF(OR(D204="",F204=""),"",IF(F204=0,"",EDATE(D204,F204)))</f>
        <v/>
      </c>
      <c r="J204" s="47">
        <f>IF(I204="","",I204-TODAY())</f>
        <v/>
      </c>
      <c r="K204" s="45">
        <f>IF(OR(E204="",G204=""),"",IF(G204=0,"",E204+G204))</f>
        <v/>
      </c>
      <c r="L204" s="45">
        <f>IF(OR(K204="",H204=""),"",K204-H204)</f>
        <v/>
      </c>
      <c r="M204" s="47">
        <f>IF(AND(J204="",L204=""),"",IF(OR(AND(J204&lt;&gt;"",J204&lt;0),AND(L204&lt;&gt;"",L204&lt;0)),"🔴 Überfällig",IF(OR(AND(J204&lt;&gt;"",J204&lt;=30),AND(L204&lt;&gt;"",L204&lt;=1000)),"🟡 Bald fällig","🟢 OK")))</f>
        <v/>
      </c>
      <c r="N204" s="35" t="n"/>
    </row>
    <row r="205">
      <c r="A205" s="29" t="n"/>
      <c r="B205" s="29" t="n"/>
      <c r="C205" s="29" t="n"/>
      <c r="D205" s="29" t="n"/>
      <c r="E205" s="29" t="n"/>
      <c r="F205" s="29" t="n"/>
      <c r="G205" s="29" t="n"/>
      <c r="H205" s="45">
        <f>IFERROR(VLOOKUP(A205,F_Tabelle,10,FALSE),"")</f>
        <v/>
      </c>
      <c r="I205" s="46">
        <f>IF(OR(D205="",F205=""),"",IF(F205=0,"",EDATE(D205,F205)))</f>
        <v/>
      </c>
      <c r="J205" s="47">
        <f>IF(I205="","",I205-TODAY())</f>
        <v/>
      </c>
      <c r="K205" s="45">
        <f>IF(OR(E205="",G205=""),"",IF(G205=0,"",E205+G205))</f>
        <v/>
      </c>
      <c r="L205" s="45">
        <f>IF(OR(K205="",H205=""),"",K205-H205)</f>
        <v/>
      </c>
      <c r="M205" s="47">
        <f>IF(AND(J205="",L205=""),"",IF(OR(AND(J205&lt;&gt;"",J205&lt;0),AND(L205&lt;&gt;"",L205&lt;0)),"🔴 Überfällig",IF(OR(AND(J205&lt;&gt;"",J205&lt;=30),AND(L205&lt;&gt;"",L205&lt;=1000)),"🟡 Bald fällig","🟢 OK")))</f>
        <v/>
      </c>
      <c r="N205" s="37" t="n"/>
    </row>
    <row r="206">
      <c r="A206" s="31" t="n"/>
      <c r="B206" s="31" t="n"/>
      <c r="C206" s="31" t="n"/>
      <c r="D206" s="31" t="n"/>
      <c r="E206" s="31" t="n"/>
      <c r="F206" s="31" t="n"/>
      <c r="G206" s="31" t="n"/>
      <c r="H206" s="45">
        <f>IFERROR(VLOOKUP(A206,F_Tabelle,10,FALSE),"")</f>
        <v/>
      </c>
      <c r="I206" s="46">
        <f>IF(OR(D206="",F206=""),"",IF(F206=0,"",EDATE(D206,F206)))</f>
        <v/>
      </c>
      <c r="J206" s="47">
        <f>IF(I206="","",I206-TODAY())</f>
        <v/>
      </c>
      <c r="K206" s="45">
        <f>IF(OR(E206="",G206=""),"",IF(G206=0,"",E206+G206))</f>
        <v/>
      </c>
      <c r="L206" s="45">
        <f>IF(OR(K206="",H206=""),"",K206-H206)</f>
        <v/>
      </c>
      <c r="M206" s="47">
        <f>IF(AND(J206="",L206=""),"",IF(OR(AND(J206&lt;&gt;"",J206&lt;0),AND(L206&lt;&gt;"",L206&lt;0)),"🔴 Überfällig",IF(OR(AND(J206&lt;&gt;"",J206&lt;=30),AND(L206&lt;&gt;"",L206&lt;=1000)),"🟡 Bald fällig","🟢 OK")))</f>
        <v/>
      </c>
      <c r="N206" s="35" t="n"/>
    </row>
    <row r="207">
      <c r="A207" s="29" t="n"/>
      <c r="B207" s="29" t="n"/>
      <c r="C207" s="29" t="n"/>
      <c r="D207" s="29" t="n"/>
      <c r="E207" s="29" t="n"/>
      <c r="F207" s="29" t="n"/>
      <c r="G207" s="29" t="n"/>
      <c r="H207" s="45">
        <f>IFERROR(VLOOKUP(A207,F_Tabelle,10,FALSE),"")</f>
        <v/>
      </c>
      <c r="I207" s="46">
        <f>IF(OR(D207="",F207=""),"",IF(F207=0,"",EDATE(D207,F207)))</f>
        <v/>
      </c>
      <c r="J207" s="47">
        <f>IF(I207="","",I207-TODAY())</f>
        <v/>
      </c>
      <c r="K207" s="45">
        <f>IF(OR(E207="",G207=""),"",IF(G207=0,"",E207+G207))</f>
        <v/>
      </c>
      <c r="L207" s="45">
        <f>IF(OR(K207="",H207=""),"",K207-H207)</f>
        <v/>
      </c>
      <c r="M207" s="47">
        <f>IF(AND(J207="",L207=""),"",IF(OR(AND(J207&lt;&gt;"",J207&lt;0),AND(L207&lt;&gt;"",L207&lt;0)),"🔴 Überfällig",IF(OR(AND(J207&lt;&gt;"",J207&lt;=30),AND(L207&lt;&gt;"",L207&lt;=1000)),"🟡 Bald fällig","🟢 OK")))</f>
        <v/>
      </c>
      <c r="N207" s="37" t="n"/>
    </row>
    <row r="208">
      <c r="A208" s="31" t="n"/>
      <c r="B208" s="31" t="n"/>
      <c r="C208" s="31" t="n"/>
      <c r="D208" s="31" t="n"/>
      <c r="E208" s="31" t="n"/>
      <c r="F208" s="31" t="n"/>
      <c r="G208" s="31" t="n"/>
      <c r="H208" s="45">
        <f>IFERROR(VLOOKUP(A208,F_Tabelle,10,FALSE),"")</f>
        <v/>
      </c>
      <c r="I208" s="46">
        <f>IF(OR(D208="",F208=""),"",IF(F208=0,"",EDATE(D208,F208)))</f>
        <v/>
      </c>
      <c r="J208" s="47">
        <f>IF(I208="","",I208-TODAY())</f>
        <v/>
      </c>
      <c r="K208" s="45">
        <f>IF(OR(E208="",G208=""),"",IF(G208=0,"",E208+G208))</f>
        <v/>
      </c>
      <c r="L208" s="45">
        <f>IF(OR(K208="",H208=""),"",K208-H208)</f>
        <v/>
      </c>
      <c r="M208" s="47">
        <f>IF(AND(J208="",L208=""),"",IF(OR(AND(J208&lt;&gt;"",J208&lt;0),AND(L208&lt;&gt;"",L208&lt;0)),"🔴 Überfällig",IF(OR(AND(J208&lt;&gt;"",J208&lt;=30),AND(L208&lt;&gt;"",L208&lt;=1000)),"🟡 Bald fällig","🟢 OK")))</f>
        <v/>
      </c>
      <c r="N208" s="35" t="n"/>
    </row>
    <row r="209">
      <c r="A209" s="29" t="n"/>
      <c r="B209" s="29" t="n"/>
      <c r="C209" s="29" t="n"/>
      <c r="D209" s="29" t="n"/>
      <c r="E209" s="29" t="n"/>
      <c r="F209" s="29" t="n"/>
      <c r="G209" s="29" t="n"/>
      <c r="H209" s="45">
        <f>IFERROR(VLOOKUP(A209,F_Tabelle,10,FALSE),"")</f>
        <v/>
      </c>
      <c r="I209" s="46">
        <f>IF(OR(D209="",F209=""),"",IF(F209=0,"",EDATE(D209,F209)))</f>
        <v/>
      </c>
      <c r="J209" s="47">
        <f>IF(I209="","",I209-TODAY())</f>
        <v/>
      </c>
      <c r="K209" s="45">
        <f>IF(OR(E209="",G209=""),"",IF(G209=0,"",E209+G209))</f>
        <v/>
      </c>
      <c r="L209" s="45">
        <f>IF(OR(K209="",H209=""),"",K209-H209)</f>
        <v/>
      </c>
      <c r="M209" s="47">
        <f>IF(AND(J209="",L209=""),"",IF(OR(AND(J209&lt;&gt;"",J209&lt;0),AND(L209&lt;&gt;"",L209&lt;0)),"🔴 Überfällig",IF(OR(AND(J209&lt;&gt;"",J209&lt;=30),AND(L209&lt;&gt;"",L209&lt;=1000)),"🟡 Bald fällig","🟢 OK")))</f>
        <v/>
      </c>
      <c r="N209" s="37" t="n"/>
    </row>
    <row r="210">
      <c r="A210" s="31" t="n"/>
      <c r="B210" s="31" t="n"/>
      <c r="C210" s="31" t="n"/>
      <c r="D210" s="31" t="n"/>
      <c r="E210" s="31" t="n"/>
      <c r="F210" s="31" t="n"/>
      <c r="G210" s="31" t="n"/>
      <c r="H210" s="45">
        <f>IFERROR(VLOOKUP(A210,F_Tabelle,10,FALSE),"")</f>
        <v/>
      </c>
      <c r="I210" s="46">
        <f>IF(OR(D210="",F210=""),"",IF(F210=0,"",EDATE(D210,F210)))</f>
        <v/>
      </c>
      <c r="J210" s="47">
        <f>IF(I210="","",I210-TODAY())</f>
        <v/>
      </c>
      <c r="K210" s="45">
        <f>IF(OR(E210="",G210=""),"",IF(G210=0,"",E210+G210))</f>
        <v/>
      </c>
      <c r="L210" s="45">
        <f>IF(OR(K210="",H210=""),"",K210-H210)</f>
        <v/>
      </c>
      <c r="M210" s="47">
        <f>IF(AND(J210="",L210=""),"",IF(OR(AND(J210&lt;&gt;"",J210&lt;0),AND(L210&lt;&gt;"",L210&lt;0)),"🔴 Überfällig",IF(OR(AND(J210&lt;&gt;"",J210&lt;=30),AND(L210&lt;&gt;"",L210&lt;=1000)),"🟡 Bald fällig","🟢 OK")))</f>
        <v/>
      </c>
      <c r="N210" s="35" t="n"/>
    </row>
    <row r="211">
      <c r="A211" s="29" t="n"/>
      <c r="B211" s="29" t="n"/>
      <c r="C211" s="29" t="n"/>
      <c r="D211" s="29" t="n"/>
      <c r="E211" s="29" t="n"/>
      <c r="F211" s="29" t="n"/>
      <c r="G211" s="29" t="n"/>
      <c r="H211" s="45">
        <f>IFERROR(VLOOKUP(A211,F_Tabelle,10,FALSE),"")</f>
        <v/>
      </c>
      <c r="I211" s="46">
        <f>IF(OR(D211="",F211=""),"",IF(F211=0,"",EDATE(D211,F211)))</f>
        <v/>
      </c>
      <c r="J211" s="47">
        <f>IF(I211="","",I211-TODAY())</f>
        <v/>
      </c>
      <c r="K211" s="45">
        <f>IF(OR(E211="",G211=""),"",IF(G211=0,"",E211+G211))</f>
        <v/>
      </c>
      <c r="L211" s="45">
        <f>IF(OR(K211="",H211=""),"",K211-H211)</f>
        <v/>
      </c>
      <c r="M211" s="47">
        <f>IF(AND(J211="",L211=""),"",IF(OR(AND(J211&lt;&gt;"",J211&lt;0),AND(L211&lt;&gt;"",L211&lt;0)),"🔴 Überfällig",IF(OR(AND(J211&lt;&gt;"",J211&lt;=30),AND(L211&lt;&gt;"",L211&lt;=1000)),"🟡 Bald fällig","🟢 OK")))</f>
        <v/>
      </c>
      <c r="N211" s="37" t="n"/>
    </row>
    <row r="212">
      <c r="A212" s="31" t="n"/>
      <c r="B212" s="31" t="n"/>
      <c r="C212" s="31" t="n"/>
      <c r="D212" s="31" t="n"/>
      <c r="E212" s="31" t="n"/>
      <c r="F212" s="31" t="n"/>
      <c r="G212" s="31" t="n"/>
      <c r="H212" s="45">
        <f>IFERROR(VLOOKUP(A212,F_Tabelle,10,FALSE),"")</f>
        <v/>
      </c>
      <c r="I212" s="46">
        <f>IF(OR(D212="",F212=""),"",IF(F212=0,"",EDATE(D212,F212)))</f>
        <v/>
      </c>
      <c r="J212" s="47">
        <f>IF(I212="","",I212-TODAY())</f>
        <v/>
      </c>
      <c r="K212" s="45">
        <f>IF(OR(E212="",G212=""),"",IF(G212=0,"",E212+G212))</f>
        <v/>
      </c>
      <c r="L212" s="45">
        <f>IF(OR(K212="",H212=""),"",K212-H212)</f>
        <v/>
      </c>
      <c r="M212" s="47">
        <f>IF(AND(J212="",L212=""),"",IF(OR(AND(J212&lt;&gt;"",J212&lt;0),AND(L212&lt;&gt;"",L212&lt;0)),"🔴 Überfällig",IF(OR(AND(J212&lt;&gt;"",J212&lt;=30),AND(L212&lt;&gt;"",L212&lt;=1000)),"🟡 Bald fällig","🟢 OK")))</f>
        <v/>
      </c>
      <c r="N212" s="35" t="n"/>
    </row>
    <row r="213">
      <c r="A213" s="29" t="n"/>
      <c r="B213" s="29" t="n"/>
      <c r="C213" s="29" t="n"/>
      <c r="D213" s="29" t="n"/>
      <c r="E213" s="29" t="n"/>
      <c r="F213" s="29" t="n"/>
      <c r="G213" s="29" t="n"/>
      <c r="H213" s="45">
        <f>IFERROR(VLOOKUP(A213,F_Tabelle,10,FALSE),"")</f>
        <v/>
      </c>
      <c r="I213" s="46">
        <f>IF(OR(D213="",F213=""),"",IF(F213=0,"",EDATE(D213,F213)))</f>
        <v/>
      </c>
      <c r="J213" s="47">
        <f>IF(I213="","",I213-TODAY())</f>
        <v/>
      </c>
      <c r="K213" s="45">
        <f>IF(OR(E213="",G213=""),"",IF(G213=0,"",E213+G213))</f>
        <v/>
      </c>
      <c r="L213" s="45">
        <f>IF(OR(K213="",H213=""),"",K213-H213)</f>
        <v/>
      </c>
      <c r="M213" s="47">
        <f>IF(AND(J213="",L213=""),"",IF(OR(AND(J213&lt;&gt;"",J213&lt;0),AND(L213&lt;&gt;"",L213&lt;0)),"🔴 Überfällig",IF(OR(AND(J213&lt;&gt;"",J213&lt;=30),AND(L213&lt;&gt;"",L213&lt;=1000)),"🟡 Bald fällig","🟢 OK")))</f>
        <v/>
      </c>
      <c r="N213" s="37" t="n"/>
    </row>
    <row r="214">
      <c r="A214" s="31" t="n"/>
      <c r="B214" s="31" t="n"/>
      <c r="C214" s="31" t="n"/>
      <c r="D214" s="31" t="n"/>
      <c r="E214" s="31" t="n"/>
      <c r="F214" s="31" t="n"/>
      <c r="G214" s="31" t="n"/>
      <c r="H214" s="45">
        <f>IFERROR(VLOOKUP(A214,F_Tabelle,10,FALSE),"")</f>
        <v/>
      </c>
      <c r="I214" s="46">
        <f>IF(OR(D214="",F214=""),"",IF(F214=0,"",EDATE(D214,F214)))</f>
        <v/>
      </c>
      <c r="J214" s="47">
        <f>IF(I214="","",I214-TODAY())</f>
        <v/>
      </c>
      <c r="K214" s="45">
        <f>IF(OR(E214="",G214=""),"",IF(G214=0,"",E214+G214))</f>
        <v/>
      </c>
      <c r="L214" s="45">
        <f>IF(OR(K214="",H214=""),"",K214-H214)</f>
        <v/>
      </c>
      <c r="M214" s="47">
        <f>IF(AND(J214="",L214=""),"",IF(OR(AND(J214&lt;&gt;"",J214&lt;0),AND(L214&lt;&gt;"",L214&lt;0)),"🔴 Überfällig",IF(OR(AND(J214&lt;&gt;"",J214&lt;=30),AND(L214&lt;&gt;"",L214&lt;=1000)),"🟡 Bald fällig","🟢 OK")))</f>
        <v/>
      </c>
      <c r="N214" s="35" t="n"/>
    </row>
    <row r="215">
      <c r="A215" s="29" t="n"/>
      <c r="B215" s="29" t="n"/>
      <c r="C215" s="29" t="n"/>
      <c r="D215" s="29" t="n"/>
      <c r="E215" s="29" t="n"/>
      <c r="F215" s="29" t="n"/>
      <c r="G215" s="29" t="n"/>
      <c r="H215" s="45">
        <f>IFERROR(VLOOKUP(A215,F_Tabelle,10,FALSE),"")</f>
        <v/>
      </c>
      <c r="I215" s="46">
        <f>IF(OR(D215="",F215=""),"",IF(F215=0,"",EDATE(D215,F215)))</f>
        <v/>
      </c>
      <c r="J215" s="47">
        <f>IF(I215="","",I215-TODAY())</f>
        <v/>
      </c>
      <c r="K215" s="45">
        <f>IF(OR(E215="",G215=""),"",IF(G215=0,"",E215+G215))</f>
        <v/>
      </c>
      <c r="L215" s="45">
        <f>IF(OR(K215="",H215=""),"",K215-H215)</f>
        <v/>
      </c>
      <c r="M215" s="47">
        <f>IF(AND(J215="",L215=""),"",IF(OR(AND(J215&lt;&gt;"",J215&lt;0),AND(L215&lt;&gt;"",L215&lt;0)),"🔴 Überfällig",IF(OR(AND(J215&lt;&gt;"",J215&lt;=30),AND(L215&lt;&gt;"",L215&lt;=1000)),"🟡 Bald fällig","🟢 OK")))</f>
        <v/>
      </c>
      <c r="N215" s="37" t="n"/>
    </row>
    <row r="216">
      <c r="A216" s="31" t="n"/>
      <c r="B216" s="31" t="n"/>
      <c r="C216" s="31" t="n"/>
      <c r="D216" s="31" t="n"/>
      <c r="E216" s="31" t="n"/>
      <c r="F216" s="31" t="n"/>
      <c r="G216" s="31" t="n"/>
      <c r="H216" s="45">
        <f>IFERROR(VLOOKUP(A216,F_Tabelle,10,FALSE),"")</f>
        <v/>
      </c>
      <c r="I216" s="46">
        <f>IF(OR(D216="",F216=""),"",IF(F216=0,"",EDATE(D216,F216)))</f>
        <v/>
      </c>
      <c r="J216" s="47">
        <f>IF(I216="","",I216-TODAY())</f>
        <v/>
      </c>
      <c r="K216" s="45">
        <f>IF(OR(E216="",G216=""),"",IF(G216=0,"",E216+G216))</f>
        <v/>
      </c>
      <c r="L216" s="45">
        <f>IF(OR(K216="",H216=""),"",K216-H216)</f>
        <v/>
      </c>
      <c r="M216" s="47">
        <f>IF(AND(J216="",L216=""),"",IF(OR(AND(J216&lt;&gt;"",J216&lt;0),AND(L216&lt;&gt;"",L216&lt;0)),"🔴 Überfällig",IF(OR(AND(J216&lt;&gt;"",J216&lt;=30),AND(L216&lt;&gt;"",L216&lt;=1000)),"🟡 Bald fällig","🟢 OK")))</f>
        <v/>
      </c>
      <c r="N216" s="35" t="n"/>
    </row>
    <row r="217">
      <c r="A217" s="29" t="n"/>
      <c r="B217" s="29" t="n"/>
      <c r="C217" s="29" t="n"/>
      <c r="D217" s="29" t="n"/>
      <c r="E217" s="29" t="n"/>
      <c r="F217" s="29" t="n"/>
      <c r="G217" s="29" t="n"/>
      <c r="H217" s="45">
        <f>IFERROR(VLOOKUP(A217,F_Tabelle,10,FALSE),"")</f>
        <v/>
      </c>
      <c r="I217" s="46">
        <f>IF(OR(D217="",F217=""),"",IF(F217=0,"",EDATE(D217,F217)))</f>
        <v/>
      </c>
      <c r="J217" s="47">
        <f>IF(I217="","",I217-TODAY())</f>
        <v/>
      </c>
      <c r="K217" s="45">
        <f>IF(OR(E217="",G217=""),"",IF(G217=0,"",E217+G217))</f>
        <v/>
      </c>
      <c r="L217" s="45">
        <f>IF(OR(K217="",H217=""),"",K217-H217)</f>
        <v/>
      </c>
      <c r="M217" s="47">
        <f>IF(AND(J217="",L217=""),"",IF(OR(AND(J217&lt;&gt;"",J217&lt;0),AND(L217&lt;&gt;"",L217&lt;0)),"🔴 Überfällig",IF(OR(AND(J217&lt;&gt;"",J217&lt;=30),AND(L217&lt;&gt;"",L217&lt;=1000)),"🟡 Bald fällig","🟢 OK")))</f>
        <v/>
      </c>
      <c r="N217" s="37" t="n"/>
    </row>
    <row r="218">
      <c r="A218" s="31" t="n"/>
      <c r="B218" s="31" t="n"/>
      <c r="C218" s="31" t="n"/>
      <c r="D218" s="31" t="n"/>
      <c r="E218" s="31" t="n"/>
      <c r="F218" s="31" t="n"/>
      <c r="G218" s="31" t="n"/>
      <c r="H218" s="45">
        <f>IFERROR(VLOOKUP(A218,F_Tabelle,10,FALSE),"")</f>
        <v/>
      </c>
      <c r="I218" s="46">
        <f>IF(OR(D218="",F218=""),"",IF(F218=0,"",EDATE(D218,F218)))</f>
        <v/>
      </c>
      <c r="J218" s="47">
        <f>IF(I218="","",I218-TODAY())</f>
        <v/>
      </c>
      <c r="K218" s="45">
        <f>IF(OR(E218="",G218=""),"",IF(G218=0,"",E218+G218))</f>
        <v/>
      </c>
      <c r="L218" s="45">
        <f>IF(OR(K218="",H218=""),"",K218-H218)</f>
        <v/>
      </c>
      <c r="M218" s="47">
        <f>IF(AND(J218="",L218=""),"",IF(OR(AND(J218&lt;&gt;"",J218&lt;0),AND(L218&lt;&gt;"",L218&lt;0)),"🔴 Überfällig",IF(OR(AND(J218&lt;&gt;"",J218&lt;=30),AND(L218&lt;&gt;"",L218&lt;=1000)),"🟡 Bald fällig","🟢 OK")))</f>
        <v/>
      </c>
      <c r="N218" s="35" t="n"/>
    </row>
    <row r="219">
      <c r="A219" s="29" t="n"/>
      <c r="B219" s="29" t="n"/>
      <c r="C219" s="29" t="n"/>
      <c r="D219" s="29" t="n"/>
      <c r="E219" s="29" t="n"/>
      <c r="F219" s="29" t="n"/>
      <c r="G219" s="29" t="n"/>
      <c r="H219" s="45">
        <f>IFERROR(VLOOKUP(A219,F_Tabelle,10,FALSE),"")</f>
        <v/>
      </c>
      <c r="I219" s="46">
        <f>IF(OR(D219="",F219=""),"",IF(F219=0,"",EDATE(D219,F219)))</f>
        <v/>
      </c>
      <c r="J219" s="47">
        <f>IF(I219="","",I219-TODAY())</f>
        <v/>
      </c>
      <c r="K219" s="45">
        <f>IF(OR(E219="",G219=""),"",IF(G219=0,"",E219+G219))</f>
        <v/>
      </c>
      <c r="L219" s="45">
        <f>IF(OR(K219="",H219=""),"",K219-H219)</f>
        <v/>
      </c>
      <c r="M219" s="47">
        <f>IF(AND(J219="",L219=""),"",IF(OR(AND(J219&lt;&gt;"",J219&lt;0),AND(L219&lt;&gt;"",L219&lt;0)),"🔴 Überfällig",IF(OR(AND(J219&lt;&gt;"",J219&lt;=30),AND(L219&lt;&gt;"",L219&lt;=1000)),"🟡 Bald fällig","🟢 OK")))</f>
        <v/>
      </c>
      <c r="N219" s="37" t="n"/>
    </row>
    <row r="220">
      <c r="A220" s="31" t="n"/>
      <c r="B220" s="31" t="n"/>
      <c r="C220" s="31" t="n"/>
      <c r="D220" s="31" t="n"/>
      <c r="E220" s="31" t="n"/>
      <c r="F220" s="31" t="n"/>
      <c r="G220" s="31" t="n"/>
      <c r="H220" s="45">
        <f>IFERROR(VLOOKUP(A220,F_Tabelle,10,FALSE),"")</f>
        <v/>
      </c>
      <c r="I220" s="46">
        <f>IF(OR(D220="",F220=""),"",IF(F220=0,"",EDATE(D220,F220)))</f>
        <v/>
      </c>
      <c r="J220" s="47">
        <f>IF(I220="","",I220-TODAY())</f>
        <v/>
      </c>
      <c r="K220" s="45">
        <f>IF(OR(E220="",G220=""),"",IF(G220=0,"",E220+G220))</f>
        <v/>
      </c>
      <c r="L220" s="45">
        <f>IF(OR(K220="",H220=""),"",K220-H220)</f>
        <v/>
      </c>
      <c r="M220" s="47">
        <f>IF(AND(J220="",L220=""),"",IF(OR(AND(J220&lt;&gt;"",J220&lt;0),AND(L220&lt;&gt;"",L220&lt;0)),"🔴 Überfällig",IF(OR(AND(J220&lt;&gt;"",J220&lt;=30),AND(L220&lt;&gt;"",L220&lt;=1000)),"🟡 Bald fällig","🟢 OK")))</f>
        <v/>
      </c>
      <c r="N220" s="35" t="n"/>
    </row>
    <row r="221">
      <c r="A221" s="29" t="n"/>
      <c r="B221" s="29" t="n"/>
      <c r="C221" s="29" t="n"/>
      <c r="D221" s="29" t="n"/>
      <c r="E221" s="29" t="n"/>
      <c r="F221" s="29" t="n"/>
      <c r="G221" s="29" t="n"/>
      <c r="H221" s="45">
        <f>IFERROR(VLOOKUP(A221,F_Tabelle,10,FALSE),"")</f>
        <v/>
      </c>
      <c r="I221" s="46">
        <f>IF(OR(D221="",F221=""),"",IF(F221=0,"",EDATE(D221,F221)))</f>
        <v/>
      </c>
      <c r="J221" s="47">
        <f>IF(I221="","",I221-TODAY())</f>
        <v/>
      </c>
      <c r="K221" s="45">
        <f>IF(OR(E221="",G221=""),"",IF(G221=0,"",E221+G221))</f>
        <v/>
      </c>
      <c r="L221" s="45">
        <f>IF(OR(K221="",H221=""),"",K221-H221)</f>
        <v/>
      </c>
      <c r="M221" s="47">
        <f>IF(AND(J221="",L221=""),"",IF(OR(AND(J221&lt;&gt;"",J221&lt;0),AND(L221&lt;&gt;"",L221&lt;0)),"🔴 Überfällig",IF(OR(AND(J221&lt;&gt;"",J221&lt;=30),AND(L221&lt;&gt;"",L221&lt;=1000)),"🟡 Bald fällig","🟢 OK")))</f>
        <v/>
      </c>
      <c r="N221" s="37" t="n"/>
    </row>
    <row r="222">
      <c r="A222" s="31" t="n"/>
      <c r="B222" s="31" t="n"/>
      <c r="C222" s="31" t="n"/>
      <c r="D222" s="31" t="n"/>
      <c r="E222" s="31" t="n"/>
      <c r="F222" s="31" t="n"/>
      <c r="G222" s="31" t="n"/>
      <c r="H222" s="45">
        <f>IFERROR(VLOOKUP(A222,F_Tabelle,10,FALSE),"")</f>
        <v/>
      </c>
      <c r="I222" s="46">
        <f>IF(OR(D222="",F222=""),"",IF(F222=0,"",EDATE(D222,F222)))</f>
        <v/>
      </c>
      <c r="J222" s="47">
        <f>IF(I222="","",I222-TODAY())</f>
        <v/>
      </c>
      <c r="K222" s="45">
        <f>IF(OR(E222="",G222=""),"",IF(G222=0,"",E222+G222))</f>
        <v/>
      </c>
      <c r="L222" s="45">
        <f>IF(OR(K222="",H222=""),"",K222-H222)</f>
        <v/>
      </c>
      <c r="M222" s="47">
        <f>IF(AND(J222="",L222=""),"",IF(OR(AND(J222&lt;&gt;"",J222&lt;0),AND(L222&lt;&gt;"",L222&lt;0)),"🔴 Überfällig",IF(OR(AND(J222&lt;&gt;"",J222&lt;=30),AND(L222&lt;&gt;"",L222&lt;=1000)),"🟡 Bald fällig","🟢 OK")))</f>
        <v/>
      </c>
      <c r="N222" s="35" t="n"/>
    </row>
    <row r="223">
      <c r="A223" s="29" t="n"/>
      <c r="B223" s="29" t="n"/>
      <c r="C223" s="29" t="n"/>
      <c r="D223" s="29" t="n"/>
      <c r="E223" s="29" t="n"/>
      <c r="F223" s="29" t="n"/>
      <c r="G223" s="29" t="n"/>
      <c r="H223" s="45">
        <f>IFERROR(VLOOKUP(A223,F_Tabelle,10,FALSE),"")</f>
        <v/>
      </c>
      <c r="I223" s="46">
        <f>IF(OR(D223="",F223=""),"",IF(F223=0,"",EDATE(D223,F223)))</f>
        <v/>
      </c>
      <c r="J223" s="47">
        <f>IF(I223="","",I223-TODAY())</f>
        <v/>
      </c>
      <c r="K223" s="45">
        <f>IF(OR(E223="",G223=""),"",IF(G223=0,"",E223+G223))</f>
        <v/>
      </c>
      <c r="L223" s="45">
        <f>IF(OR(K223="",H223=""),"",K223-H223)</f>
        <v/>
      </c>
      <c r="M223" s="47">
        <f>IF(AND(J223="",L223=""),"",IF(OR(AND(J223&lt;&gt;"",J223&lt;0),AND(L223&lt;&gt;"",L223&lt;0)),"🔴 Überfällig",IF(OR(AND(J223&lt;&gt;"",J223&lt;=30),AND(L223&lt;&gt;"",L223&lt;=1000)),"🟡 Bald fällig","🟢 OK")))</f>
        <v/>
      </c>
      <c r="N223" s="37" t="n"/>
    </row>
    <row r="224">
      <c r="A224" s="31" t="n"/>
      <c r="B224" s="31" t="n"/>
      <c r="C224" s="31" t="n"/>
      <c r="D224" s="31" t="n"/>
      <c r="E224" s="31" t="n"/>
      <c r="F224" s="31" t="n"/>
      <c r="G224" s="31" t="n"/>
      <c r="H224" s="45">
        <f>IFERROR(VLOOKUP(A224,F_Tabelle,10,FALSE),"")</f>
        <v/>
      </c>
      <c r="I224" s="46">
        <f>IF(OR(D224="",F224=""),"",IF(F224=0,"",EDATE(D224,F224)))</f>
        <v/>
      </c>
      <c r="J224" s="47">
        <f>IF(I224="","",I224-TODAY())</f>
        <v/>
      </c>
      <c r="K224" s="45">
        <f>IF(OR(E224="",G224=""),"",IF(G224=0,"",E224+G224))</f>
        <v/>
      </c>
      <c r="L224" s="45">
        <f>IF(OR(K224="",H224=""),"",K224-H224)</f>
        <v/>
      </c>
      <c r="M224" s="47">
        <f>IF(AND(J224="",L224=""),"",IF(OR(AND(J224&lt;&gt;"",J224&lt;0),AND(L224&lt;&gt;"",L224&lt;0)),"🔴 Überfällig",IF(OR(AND(J224&lt;&gt;"",J224&lt;=30),AND(L224&lt;&gt;"",L224&lt;=1000)),"🟡 Bald fällig","🟢 OK")))</f>
        <v/>
      </c>
      <c r="N224" s="35" t="n"/>
    </row>
    <row r="225">
      <c r="A225" s="29" t="n"/>
      <c r="B225" s="29" t="n"/>
      <c r="C225" s="29" t="n"/>
      <c r="D225" s="29" t="n"/>
      <c r="E225" s="29" t="n"/>
      <c r="F225" s="29" t="n"/>
      <c r="G225" s="29" t="n"/>
      <c r="H225" s="45">
        <f>IFERROR(VLOOKUP(A225,F_Tabelle,10,FALSE),"")</f>
        <v/>
      </c>
      <c r="I225" s="46">
        <f>IF(OR(D225="",F225=""),"",IF(F225=0,"",EDATE(D225,F225)))</f>
        <v/>
      </c>
      <c r="J225" s="47">
        <f>IF(I225="","",I225-TODAY())</f>
        <v/>
      </c>
      <c r="K225" s="45">
        <f>IF(OR(E225="",G225=""),"",IF(G225=0,"",E225+G225))</f>
        <v/>
      </c>
      <c r="L225" s="45">
        <f>IF(OR(K225="",H225=""),"",K225-H225)</f>
        <v/>
      </c>
      <c r="M225" s="47">
        <f>IF(AND(J225="",L225=""),"",IF(OR(AND(J225&lt;&gt;"",J225&lt;0),AND(L225&lt;&gt;"",L225&lt;0)),"🔴 Überfällig",IF(OR(AND(J225&lt;&gt;"",J225&lt;=30),AND(L225&lt;&gt;"",L225&lt;=1000)),"🟡 Bald fällig","🟢 OK")))</f>
        <v/>
      </c>
      <c r="N225" s="37" t="n"/>
    </row>
    <row r="226">
      <c r="A226" s="31" t="n"/>
      <c r="B226" s="31" t="n"/>
      <c r="C226" s="31" t="n"/>
      <c r="D226" s="31" t="n"/>
      <c r="E226" s="31" t="n"/>
      <c r="F226" s="31" t="n"/>
      <c r="G226" s="31" t="n"/>
      <c r="H226" s="45">
        <f>IFERROR(VLOOKUP(A226,F_Tabelle,10,FALSE),"")</f>
        <v/>
      </c>
      <c r="I226" s="46">
        <f>IF(OR(D226="",F226=""),"",IF(F226=0,"",EDATE(D226,F226)))</f>
        <v/>
      </c>
      <c r="J226" s="47">
        <f>IF(I226="","",I226-TODAY())</f>
        <v/>
      </c>
      <c r="K226" s="45">
        <f>IF(OR(E226="",G226=""),"",IF(G226=0,"",E226+G226))</f>
        <v/>
      </c>
      <c r="L226" s="45">
        <f>IF(OR(K226="",H226=""),"",K226-H226)</f>
        <v/>
      </c>
      <c r="M226" s="47">
        <f>IF(AND(J226="",L226=""),"",IF(OR(AND(J226&lt;&gt;"",J226&lt;0),AND(L226&lt;&gt;"",L226&lt;0)),"🔴 Überfällig",IF(OR(AND(J226&lt;&gt;"",J226&lt;=30),AND(L226&lt;&gt;"",L226&lt;=1000)),"🟡 Bald fällig","🟢 OK")))</f>
        <v/>
      </c>
      <c r="N226" s="35" t="n"/>
    </row>
    <row r="227">
      <c r="A227" s="29" t="n"/>
      <c r="B227" s="29" t="n"/>
      <c r="C227" s="29" t="n"/>
      <c r="D227" s="29" t="n"/>
      <c r="E227" s="29" t="n"/>
      <c r="F227" s="29" t="n"/>
      <c r="G227" s="29" t="n"/>
      <c r="H227" s="45">
        <f>IFERROR(VLOOKUP(A227,F_Tabelle,10,FALSE),"")</f>
        <v/>
      </c>
      <c r="I227" s="46">
        <f>IF(OR(D227="",F227=""),"",IF(F227=0,"",EDATE(D227,F227)))</f>
        <v/>
      </c>
      <c r="J227" s="47">
        <f>IF(I227="","",I227-TODAY())</f>
        <v/>
      </c>
      <c r="K227" s="45">
        <f>IF(OR(E227="",G227=""),"",IF(G227=0,"",E227+G227))</f>
        <v/>
      </c>
      <c r="L227" s="45">
        <f>IF(OR(K227="",H227=""),"",K227-H227)</f>
        <v/>
      </c>
      <c r="M227" s="47">
        <f>IF(AND(J227="",L227=""),"",IF(OR(AND(J227&lt;&gt;"",J227&lt;0),AND(L227&lt;&gt;"",L227&lt;0)),"🔴 Überfällig",IF(OR(AND(J227&lt;&gt;"",J227&lt;=30),AND(L227&lt;&gt;"",L227&lt;=1000)),"🟡 Bald fällig","🟢 OK")))</f>
        <v/>
      </c>
      <c r="N227" s="37" t="n"/>
    </row>
    <row r="228">
      <c r="A228" s="31" t="n"/>
      <c r="B228" s="31" t="n"/>
      <c r="C228" s="31" t="n"/>
      <c r="D228" s="31" t="n"/>
      <c r="E228" s="31" t="n"/>
      <c r="F228" s="31" t="n"/>
      <c r="G228" s="31" t="n"/>
      <c r="H228" s="45">
        <f>IFERROR(VLOOKUP(A228,F_Tabelle,10,FALSE),"")</f>
        <v/>
      </c>
      <c r="I228" s="46">
        <f>IF(OR(D228="",F228=""),"",IF(F228=0,"",EDATE(D228,F228)))</f>
        <v/>
      </c>
      <c r="J228" s="47">
        <f>IF(I228="","",I228-TODAY())</f>
        <v/>
      </c>
      <c r="K228" s="45">
        <f>IF(OR(E228="",G228=""),"",IF(G228=0,"",E228+G228))</f>
        <v/>
      </c>
      <c r="L228" s="45">
        <f>IF(OR(K228="",H228=""),"",K228-H228)</f>
        <v/>
      </c>
      <c r="M228" s="47">
        <f>IF(AND(J228="",L228=""),"",IF(OR(AND(J228&lt;&gt;"",J228&lt;0),AND(L228&lt;&gt;"",L228&lt;0)),"🔴 Überfällig",IF(OR(AND(J228&lt;&gt;"",J228&lt;=30),AND(L228&lt;&gt;"",L228&lt;=1000)),"🟡 Bald fällig","🟢 OK")))</f>
        <v/>
      </c>
      <c r="N228" s="35" t="n"/>
    </row>
    <row r="229">
      <c r="A229" s="29" t="n"/>
      <c r="B229" s="29" t="n"/>
      <c r="C229" s="29" t="n"/>
      <c r="D229" s="29" t="n"/>
      <c r="E229" s="29" t="n"/>
      <c r="F229" s="29" t="n"/>
      <c r="G229" s="29" t="n"/>
      <c r="H229" s="45">
        <f>IFERROR(VLOOKUP(A229,F_Tabelle,10,FALSE),"")</f>
        <v/>
      </c>
      <c r="I229" s="46">
        <f>IF(OR(D229="",F229=""),"",IF(F229=0,"",EDATE(D229,F229)))</f>
        <v/>
      </c>
      <c r="J229" s="47">
        <f>IF(I229="","",I229-TODAY())</f>
        <v/>
      </c>
      <c r="K229" s="45">
        <f>IF(OR(E229="",G229=""),"",IF(G229=0,"",E229+G229))</f>
        <v/>
      </c>
      <c r="L229" s="45">
        <f>IF(OR(K229="",H229=""),"",K229-H229)</f>
        <v/>
      </c>
      <c r="M229" s="47">
        <f>IF(AND(J229="",L229=""),"",IF(OR(AND(J229&lt;&gt;"",J229&lt;0),AND(L229&lt;&gt;"",L229&lt;0)),"🔴 Überfällig",IF(OR(AND(J229&lt;&gt;"",J229&lt;=30),AND(L229&lt;&gt;"",L229&lt;=1000)),"🟡 Bald fällig","🟢 OK")))</f>
        <v/>
      </c>
      <c r="N229" s="37" t="n"/>
    </row>
    <row r="230">
      <c r="A230" s="31" t="n"/>
      <c r="B230" s="31" t="n"/>
      <c r="C230" s="31" t="n"/>
      <c r="D230" s="31" t="n"/>
      <c r="E230" s="31" t="n"/>
      <c r="F230" s="31" t="n"/>
      <c r="G230" s="31" t="n"/>
      <c r="H230" s="45">
        <f>IFERROR(VLOOKUP(A230,F_Tabelle,10,FALSE),"")</f>
        <v/>
      </c>
      <c r="I230" s="46">
        <f>IF(OR(D230="",F230=""),"",IF(F230=0,"",EDATE(D230,F230)))</f>
        <v/>
      </c>
      <c r="J230" s="47">
        <f>IF(I230="","",I230-TODAY())</f>
        <v/>
      </c>
      <c r="K230" s="45">
        <f>IF(OR(E230="",G230=""),"",IF(G230=0,"",E230+G230))</f>
        <v/>
      </c>
      <c r="L230" s="45">
        <f>IF(OR(K230="",H230=""),"",K230-H230)</f>
        <v/>
      </c>
      <c r="M230" s="47">
        <f>IF(AND(J230="",L230=""),"",IF(OR(AND(J230&lt;&gt;"",J230&lt;0),AND(L230&lt;&gt;"",L230&lt;0)),"🔴 Überfällig",IF(OR(AND(J230&lt;&gt;"",J230&lt;=30),AND(L230&lt;&gt;"",L230&lt;=1000)),"🟡 Bald fällig","🟢 OK")))</f>
        <v/>
      </c>
      <c r="N230" s="35" t="n"/>
    </row>
    <row r="231">
      <c r="A231" s="29" t="n"/>
      <c r="B231" s="29" t="n"/>
      <c r="C231" s="29" t="n"/>
      <c r="D231" s="29" t="n"/>
      <c r="E231" s="29" t="n"/>
      <c r="F231" s="29" t="n"/>
      <c r="G231" s="29" t="n"/>
      <c r="H231" s="45">
        <f>IFERROR(VLOOKUP(A231,F_Tabelle,10,FALSE),"")</f>
        <v/>
      </c>
      <c r="I231" s="46">
        <f>IF(OR(D231="",F231=""),"",IF(F231=0,"",EDATE(D231,F231)))</f>
        <v/>
      </c>
      <c r="J231" s="47">
        <f>IF(I231="","",I231-TODAY())</f>
        <v/>
      </c>
      <c r="K231" s="45">
        <f>IF(OR(E231="",G231=""),"",IF(G231=0,"",E231+G231))</f>
        <v/>
      </c>
      <c r="L231" s="45">
        <f>IF(OR(K231="",H231=""),"",K231-H231)</f>
        <v/>
      </c>
      <c r="M231" s="47">
        <f>IF(AND(J231="",L231=""),"",IF(OR(AND(J231&lt;&gt;"",J231&lt;0),AND(L231&lt;&gt;"",L231&lt;0)),"🔴 Überfällig",IF(OR(AND(J231&lt;&gt;"",J231&lt;=30),AND(L231&lt;&gt;"",L231&lt;=1000)),"🟡 Bald fällig","🟢 OK")))</f>
        <v/>
      </c>
      <c r="N231" s="37" t="n"/>
    </row>
    <row r="232">
      <c r="A232" s="31" t="n"/>
      <c r="B232" s="31" t="n"/>
      <c r="C232" s="31" t="n"/>
      <c r="D232" s="31" t="n"/>
      <c r="E232" s="31" t="n"/>
      <c r="F232" s="31" t="n"/>
      <c r="G232" s="31" t="n"/>
      <c r="H232" s="45">
        <f>IFERROR(VLOOKUP(A232,F_Tabelle,10,FALSE),"")</f>
        <v/>
      </c>
      <c r="I232" s="46">
        <f>IF(OR(D232="",F232=""),"",IF(F232=0,"",EDATE(D232,F232)))</f>
        <v/>
      </c>
      <c r="J232" s="47">
        <f>IF(I232="","",I232-TODAY())</f>
        <v/>
      </c>
      <c r="K232" s="45">
        <f>IF(OR(E232="",G232=""),"",IF(G232=0,"",E232+G232))</f>
        <v/>
      </c>
      <c r="L232" s="45">
        <f>IF(OR(K232="",H232=""),"",K232-H232)</f>
        <v/>
      </c>
      <c r="M232" s="47">
        <f>IF(AND(J232="",L232=""),"",IF(OR(AND(J232&lt;&gt;"",J232&lt;0),AND(L232&lt;&gt;"",L232&lt;0)),"🔴 Überfällig",IF(OR(AND(J232&lt;&gt;"",J232&lt;=30),AND(L232&lt;&gt;"",L232&lt;=1000)),"🟡 Bald fällig","🟢 OK")))</f>
        <v/>
      </c>
      <c r="N232" s="35" t="n"/>
    </row>
    <row r="233">
      <c r="A233" s="29" t="n"/>
      <c r="B233" s="29" t="n"/>
      <c r="C233" s="29" t="n"/>
      <c r="D233" s="29" t="n"/>
      <c r="E233" s="29" t="n"/>
      <c r="F233" s="29" t="n"/>
      <c r="G233" s="29" t="n"/>
      <c r="H233" s="45">
        <f>IFERROR(VLOOKUP(A233,F_Tabelle,10,FALSE),"")</f>
        <v/>
      </c>
      <c r="I233" s="46">
        <f>IF(OR(D233="",F233=""),"",IF(F233=0,"",EDATE(D233,F233)))</f>
        <v/>
      </c>
      <c r="J233" s="47">
        <f>IF(I233="","",I233-TODAY())</f>
        <v/>
      </c>
      <c r="K233" s="45">
        <f>IF(OR(E233="",G233=""),"",IF(G233=0,"",E233+G233))</f>
        <v/>
      </c>
      <c r="L233" s="45">
        <f>IF(OR(K233="",H233=""),"",K233-H233)</f>
        <v/>
      </c>
      <c r="M233" s="47">
        <f>IF(AND(J233="",L233=""),"",IF(OR(AND(J233&lt;&gt;"",J233&lt;0),AND(L233&lt;&gt;"",L233&lt;0)),"🔴 Überfällig",IF(OR(AND(J233&lt;&gt;"",J233&lt;=30),AND(L233&lt;&gt;"",L233&lt;=1000)),"🟡 Bald fällig","🟢 OK")))</f>
        <v/>
      </c>
      <c r="N233" s="37" t="n"/>
    </row>
    <row r="234">
      <c r="A234" s="31" t="n"/>
      <c r="B234" s="31" t="n"/>
      <c r="C234" s="31" t="n"/>
      <c r="D234" s="31" t="n"/>
      <c r="E234" s="31" t="n"/>
      <c r="F234" s="31" t="n"/>
      <c r="G234" s="31" t="n"/>
      <c r="H234" s="45">
        <f>IFERROR(VLOOKUP(A234,F_Tabelle,10,FALSE),"")</f>
        <v/>
      </c>
      <c r="I234" s="46">
        <f>IF(OR(D234="",F234=""),"",IF(F234=0,"",EDATE(D234,F234)))</f>
        <v/>
      </c>
      <c r="J234" s="47">
        <f>IF(I234="","",I234-TODAY())</f>
        <v/>
      </c>
      <c r="K234" s="45">
        <f>IF(OR(E234="",G234=""),"",IF(G234=0,"",E234+G234))</f>
        <v/>
      </c>
      <c r="L234" s="45">
        <f>IF(OR(K234="",H234=""),"",K234-H234)</f>
        <v/>
      </c>
      <c r="M234" s="47">
        <f>IF(AND(J234="",L234=""),"",IF(OR(AND(J234&lt;&gt;"",J234&lt;0),AND(L234&lt;&gt;"",L234&lt;0)),"🔴 Überfällig",IF(OR(AND(J234&lt;&gt;"",J234&lt;=30),AND(L234&lt;&gt;"",L234&lt;=1000)),"🟡 Bald fällig","🟢 OK")))</f>
        <v/>
      </c>
      <c r="N234" s="35" t="n"/>
    </row>
    <row r="235">
      <c r="A235" s="29" t="n"/>
      <c r="B235" s="29" t="n"/>
      <c r="C235" s="29" t="n"/>
      <c r="D235" s="29" t="n"/>
      <c r="E235" s="29" t="n"/>
      <c r="F235" s="29" t="n"/>
      <c r="G235" s="29" t="n"/>
      <c r="H235" s="45">
        <f>IFERROR(VLOOKUP(A235,F_Tabelle,10,FALSE),"")</f>
        <v/>
      </c>
      <c r="I235" s="46">
        <f>IF(OR(D235="",F235=""),"",IF(F235=0,"",EDATE(D235,F235)))</f>
        <v/>
      </c>
      <c r="J235" s="47">
        <f>IF(I235="","",I235-TODAY())</f>
        <v/>
      </c>
      <c r="K235" s="45">
        <f>IF(OR(E235="",G235=""),"",IF(G235=0,"",E235+G235))</f>
        <v/>
      </c>
      <c r="L235" s="45">
        <f>IF(OR(K235="",H235=""),"",K235-H235)</f>
        <v/>
      </c>
      <c r="M235" s="47">
        <f>IF(AND(J235="",L235=""),"",IF(OR(AND(J235&lt;&gt;"",J235&lt;0),AND(L235&lt;&gt;"",L235&lt;0)),"🔴 Überfällig",IF(OR(AND(J235&lt;&gt;"",J235&lt;=30),AND(L235&lt;&gt;"",L235&lt;=1000)),"🟡 Bald fällig","🟢 OK")))</f>
        <v/>
      </c>
      <c r="N235" s="37" t="n"/>
    </row>
    <row r="236">
      <c r="A236" s="31" t="n"/>
      <c r="B236" s="31" t="n"/>
      <c r="C236" s="31" t="n"/>
      <c r="D236" s="31" t="n"/>
      <c r="E236" s="31" t="n"/>
      <c r="F236" s="31" t="n"/>
      <c r="G236" s="31" t="n"/>
      <c r="H236" s="45">
        <f>IFERROR(VLOOKUP(A236,F_Tabelle,10,FALSE),"")</f>
        <v/>
      </c>
      <c r="I236" s="46">
        <f>IF(OR(D236="",F236=""),"",IF(F236=0,"",EDATE(D236,F236)))</f>
        <v/>
      </c>
      <c r="J236" s="47">
        <f>IF(I236="","",I236-TODAY())</f>
        <v/>
      </c>
      <c r="K236" s="45">
        <f>IF(OR(E236="",G236=""),"",IF(G236=0,"",E236+G236))</f>
        <v/>
      </c>
      <c r="L236" s="45">
        <f>IF(OR(K236="",H236=""),"",K236-H236)</f>
        <v/>
      </c>
      <c r="M236" s="47">
        <f>IF(AND(J236="",L236=""),"",IF(OR(AND(J236&lt;&gt;"",J236&lt;0),AND(L236&lt;&gt;"",L236&lt;0)),"🔴 Überfällig",IF(OR(AND(J236&lt;&gt;"",J236&lt;=30),AND(L236&lt;&gt;"",L236&lt;=1000)),"🟡 Bald fällig","🟢 OK")))</f>
        <v/>
      </c>
      <c r="N236" s="35" t="n"/>
    </row>
    <row r="237">
      <c r="A237" s="29" t="n"/>
      <c r="B237" s="29" t="n"/>
      <c r="C237" s="29" t="n"/>
      <c r="D237" s="29" t="n"/>
      <c r="E237" s="29" t="n"/>
      <c r="F237" s="29" t="n"/>
      <c r="G237" s="29" t="n"/>
      <c r="H237" s="45">
        <f>IFERROR(VLOOKUP(A237,F_Tabelle,10,FALSE),"")</f>
        <v/>
      </c>
      <c r="I237" s="46">
        <f>IF(OR(D237="",F237=""),"",IF(F237=0,"",EDATE(D237,F237)))</f>
        <v/>
      </c>
      <c r="J237" s="47">
        <f>IF(I237="","",I237-TODAY())</f>
        <v/>
      </c>
      <c r="K237" s="45">
        <f>IF(OR(E237="",G237=""),"",IF(G237=0,"",E237+G237))</f>
        <v/>
      </c>
      <c r="L237" s="45">
        <f>IF(OR(K237="",H237=""),"",K237-H237)</f>
        <v/>
      </c>
      <c r="M237" s="47">
        <f>IF(AND(J237="",L237=""),"",IF(OR(AND(J237&lt;&gt;"",J237&lt;0),AND(L237&lt;&gt;"",L237&lt;0)),"🔴 Überfällig",IF(OR(AND(J237&lt;&gt;"",J237&lt;=30),AND(L237&lt;&gt;"",L237&lt;=1000)),"🟡 Bald fällig","🟢 OK")))</f>
        <v/>
      </c>
      <c r="N237" s="37" t="n"/>
    </row>
    <row r="238">
      <c r="A238" s="31" t="n"/>
      <c r="B238" s="31" t="n"/>
      <c r="C238" s="31" t="n"/>
      <c r="D238" s="31" t="n"/>
      <c r="E238" s="31" t="n"/>
      <c r="F238" s="31" t="n"/>
      <c r="G238" s="31" t="n"/>
      <c r="H238" s="45">
        <f>IFERROR(VLOOKUP(A238,F_Tabelle,10,FALSE),"")</f>
        <v/>
      </c>
      <c r="I238" s="46">
        <f>IF(OR(D238="",F238=""),"",IF(F238=0,"",EDATE(D238,F238)))</f>
        <v/>
      </c>
      <c r="J238" s="47">
        <f>IF(I238="","",I238-TODAY())</f>
        <v/>
      </c>
      <c r="K238" s="45">
        <f>IF(OR(E238="",G238=""),"",IF(G238=0,"",E238+G238))</f>
        <v/>
      </c>
      <c r="L238" s="45">
        <f>IF(OR(K238="",H238=""),"",K238-H238)</f>
        <v/>
      </c>
      <c r="M238" s="47">
        <f>IF(AND(J238="",L238=""),"",IF(OR(AND(J238&lt;&gt;"",J238&lt;0),AND(L238&lt;&gt;"",L238&lt;0)),"🔴 Überfällig",IF(OR(AND(J238&lt;&gt;"",J238&lt;=30),AND(L238&lt;&gt;"",L238&lt;=1000)),"🟡 Bald fällig","🟢 OK")))</f>
        <v/>
      </c>
      <c r="N238" s="35" t="n"/>
    </row>
    <row r="239">
      <c r="A239" s="29" t="n"/>
      <c r="B239" s="29" t="n"/>
      <c r="C239" s="29" t="n"/>
      <c r="D239" s="29" t="n"/>
      <c r="E239" s="29" t="n"/>
      <c r="F239" s="29" t="n"/>
      <c r="G239" s="29" t="n"/>
      <c r="H239" s="45">
        <f>IFERROR(VLOOKUP(A239,F_Tabelle,10,FALSE),"")</f>
        <v/>
      </c>
      <c r="I239" s="46">
        <f>IF(OR(D239="",F239=""),"",IF(F239=0,"",EDATE(D239,F239)))</f>
        <v/>
      </c>
      <c r="J239" s="47">
        <f>IF(I239="","",I239-TODAY())</f>
        <v/>
      </c>
      <c r="K239" s="45">
        <f>IF(OR(E239="",G239=""),"",IF(G239=0,"",E239+G239))</f>
        <v/>
      </c>
      <c r="L239" s="45">
        <f>IF(OR(K239="",H239=""),"",K239-H239)</f>
        <v/>
      </c>
      <c r="M239" s="47">
        <f>IF(AND(J239="",L239=""),"",IF(OR(AND(J239&lt;&gt;"",J239&lt;0),AND(L239&lt;&gt;"",L239&lt;0)),"🔴 Überfällig",IF(OR(AND(J239&lt;&gt;"",J239&lt;=30),AND(L239&lt;&gt;"",L239&lt;=1000)),"🟡 Bald fällig","🟢 OK")))</f>
        <v/>
      </c>
      <c r="N239" s="37" t="n"/>
    </row>
    <row r="240">
      <c r="A240" s="31" t="n"/>
      <c r="B240" s="31" t="n"/>
      <c r="C240" s="31" t="n"/>
      <c r="D240" s="31" t="n"/>
      <c r="E240" s="31" t="n"/>
      <c r="F240" s="31" t="n"/>
      <c r="G240" s="31" t="n"/>
      <c r="H240" s="45">
        <f>IFERROR(VLOOKUP(A240,F_Tabelle,10,FALSE),"")</f>
        <v/>
      </c>
      <c r="I240" s="46">
        <f>IF(OR(D240="",F240=""),"",IF(F240=0,"",EDATE(D240,F240)))</f>
        <v/>
      </c>
      <c r="J240" s="47">
        <f>IF(I240="","",I240-TODAY())</f>
        <v/>
      </c>
      <c r="K240" s="45">
        <f>IF(OR(E240="",G240=""),"",IF(G240=0,"",E240+G240))</f>
        <v/>
      </c>
      <c r="L240" s="45">
        <f>IF(OR(K240="",H240=""),"",K240-H240)</f>
        <v/>
      </c>
      <c r="M240" s="47">
        <f>IF(AND(J240="",L240=""),"",IF(OR(AND(J240&lt;&gt;"",J240&lt;0),AND(L240&lt;&gt;"",L240&lt;0)),"🔴 Überfällig",IF(OR(AND(J240&lt;&gt;"",J240&lt;=30),AND(L240&lt;&gt;"",L240&lt;=1000)),"🟡 Bald fällig","🟢 OK")))</f>
        <v/>
      </c>
      <c r="N240" s="35" t="n"/>
    </row>
    <row r="241">
      <c r="A241" s="29" t="n"/>
      <c r="B241" s="29" t="n"/>
      <c r="C241" s="29" t="n"/>
      <c r="D241" s="29" t="n"/>
      <c r="E241" s="29" t="n"/>
      <c r="F241" s="29" t="n"/>
      <c r="G241" s="29" t="n"/>
      <c r="H241" s="45">
        <f>IFERROR(VLOOKUP(A241,F_Tabelle,10,FALSE),"")</f>
        <v/>
      </c>
      <c r="I241" s="46">
        <f>IF(OR(D241="",F241=""),"",IF(F241=0,"",EDATE(D241,F241)))</f>
        <v/>
      </c>
      <c r="J241" s="47">
        <f>IF(I241="","",I241-TODAY())</f>
        <v/>
      </c>
      <c r="K241" s="45">
        <f>IF(OR(E241="",G241=""),"",IF(G241=0,"",E241+G241))</f>
        <v/>
      </c>
      <c r="L241" s="45">
        <f>IF(OR(K241="",H241=""),"",K241-H241)</f>
        <v/>
      </c>
      <c r="M241" s="47">
        <f>IF(AND(J241="",L241=""),"",IF(OR(AND(J241&lt;&gt;"",J241&lt;0),AND(L241&lt;&gt;"",L241&lt;0)),"🔴 Überfällig",IF(OR(AND(J241&lt;&gt;"",J241&lt;=30),AND(L241&lt;&gt;"",L241&lt;=1000)),"🟡 Bald fällig","🟢 OK")))</f>
        <v/>
      </c>
      <c r="N241" s="37" t="n"/>
    </row>
    <row r="242">
      <c r="A242" s="31" t="n"/>
      <c r="B242" s="31" t="n"/>
      <c r="C242" s="31" t="n"/>
      <c r="D242" s="31" t="n"/>
      <c r="E242" s="31" t="n"/>
      <c r="F242" s="31" t="n"/>
      <c r="G242" s="31" t="n"/>
      <c r="H242" s="45">
        <f>IFERROR(VLOOKUP(A242,F_Tabelle,10,FALSE),"")</f>
        <v/>
      </c>
      <c r="I242" s="46">
        <f>IF(OR(D242="",F242=""),"",IF(F242=0,"",EDATE(D242,F242)))</f>
        <v/>
      </c>
      <c r="J242" s="47">
        <f>IF(I242="","",I242-TODAY())</f>
        <v/>
      </c>
      <c r="K242" s="45">
        <f>IF(OR(E242="",G242=""),"",IF(G242=0,"",E242+G242))</f>
        <v/>
      </c>
      <c r="L242" s="45">
        <f>IF(OR(K242="",H242=""),"",K242-H242)</f>
        <v/>
      </c>
      <c r="M242" s="47">
        <f>IF(AND(J242="",L242=""),"",IF(OR(AND(J242&lt;&gt;"",J242&lt;0),AND(L242&lt;&gt;"",L242&lt;0)),"🔴 Überfällig",IF(OR(AND(J242&lt;&gt;"",J242&lt;=30),AND(L242&lt;&gt;"",L242&lt;=1000)),"🟡 Bald fällig","🟢 OK")))</f>
        <v/>
      </c>
      <c r="N242" s="35" t="n"/>
    </row>
    <row r="243">
      <c r="A243" s="29" t="n"/>
      <c r="B243" s="29" t="n"/>
      <c r="C243" s="29" t="n"/>
      <c r="D243" s="29" t="n"/>
      <c r="E243" s="29" t="n"/>
      <c r="F243" s="29" t="n"/>
      <c r="G243" s="29" t="n"/>
      <c r="H243" s="45">
        <f>IFERROR(VLOOKUP(A243,F_Tabelle,10,FALSE),"")</f>
        <v/>
      </c>
      <c r="I243" s="46">
        <f>IF(OR(D243="",F243=""),"",IF(F243=0,"",EDATE(D243,F243)))</f>
        <v/>
      </c>
      <c r="J243" s="47">
        <f>IF(I243="","",I243-TODAY())</f>
        <v/>
      </c>
      <c r="K243" s="45">
        <f>IF(OR(E243="",G243=""),"",IF(G243=0,"",E243+G243))</f>
        <v/>
      </c>
      <c r="L243" s="45">
        <f>IF(OR(K243="",H243=""),"",K243-H243)</f>
        <v/>
      </c>
      <c r="M243" s="47">
        <f>IF(AND(J243="",L243=""),"",IF(OR(AND(J243&lt;&gt;"",J243&lt;0),AND(L243&lt;&gt;"",L243&lt;0)),"🔴 Überfällig",IF(OR(AND(J243&lt;&gt;"",J243&lt;=30),AND(L243&lt;&gt;"",L243&lt;=1000)),"🟡 Bald fällig","🟢 OK")))</f>
        <v/>
      </c>
      <c r="N243" s="37" t="n"/>
    </row>
    <row r="244">
      <c r="A244" s="31" t="n"/>
      <c r="B244" s="31" t="n"/>
      <c r="C244" s="31" t="n"/>
      <c r="D244" s="31" t="n"/>
      <c r="E244" s="31" t="n"/>
      <c r="F244" s="31" t="n"/>
      <c r="G244" s="31" t="n"/>
      <c r="H244" s="45">
        <f>IFERROR(VLOOKUP(A244,F_Tabelle,10,FALSE),"")</f>
        <v/>
      </c>
      <c r="I244" s="46">
        <f>IF(OR(D244="",F244=""),"",IF(F244=0,"",EDATE(D244,F244)))</f>
        <v/>
      </c>
      <c r="J244" s="47">
        <f>IF(I244="","",I244-TODAY())</f>
        <v/>
      </c>
      <c r="K244" s="45">
        <f>IF(OR(E244="",G244=""),"",IF(G244=0,"",E244+G244))</f>
        <v/>
      </c>
      <c r="L244" s="45">
        <f>IF(OR(K244="",H244=""),"",K244-H244)</f>
        <v/>
      </c>
      <c r="M244" s="47">
        <f>IF(AND(J244="",L244=""),"",IF(OR(AND(J244&lt;&gt;"",J244&lt;0),AND(L244&lt;&gt;"",L244&lt;0)),"🔴 Überfällig",IF(OR(AND(J244&lt;&gt;"",J244&lt;=30),AND(L244&lt;&gt;"",L244&lt;=1000)),"🟡 Bald fällig","🟢 OK")))</f>
        <v/>
      </c>
      <c r="N244" s="35" t="n"/>
    </row>
    <row r="245">
      <c r="A245" s="29" t="n"/>
      <c r="B245" s="29" t="n"/>
      <c r="C245" s="29" t="n"/>
      <c r="D245" s="29" t="n"/>
      <c r="E245" s="29" t="n"/>
      <c r="F245" s="29" t="n"/>
      <c r="G245" s="29" t="n"/>
      <c r="H245" s="45">
        <f>IFERROR(VLOOKUP(A245,F_Tabelle,10,FALSE),"")</f>
        <v/>
      </c>
      <c r="I245" s="46">
        <f>IF(OR(D245="",F245=""),"",IF(F245=0,"",EDATE(D245,F245)))</f>
        <v/>
      </c>
      <c r="J245" s="47">
        <f>IF(I245="","",I245-TODAY())</f>
        <v/>
      </c>
      <c r="K245" s="45">
        <f>IF(OR(E245="",G245=""),"",IF(G245=0,"",E245+G245))</f>
        <v/>
      </c>
      <c r="L245" s="45">
        <f>IF(OR(K245="",H245=""),"",K245-H245)</f>
        <v/>
      </c>
      <c r="M245" s="47">
        <f>IF(AND(J245="",L245=""),"",IF(OR(AND(J245&lt;&gt;"",J245&lt;0),AND(L245&lt;&gt;"",L245&lt;0)),"🔴 Überfällig",IF(OR(AND(J245&lt;&gt;"",J245&lt;=30),AND(L245&lt;&gt;"",L245&lt;=1000)),"🟡 Bald fällig","🟢 OK")))</f>
        <v/>
      </c>
      <c r="N245" s="37" t="n"/>
    </row>
    <row r="246">
      <c r="A246" s="31" t="n"/>
      <c r="B246" s="31" t="n"/>
      <c r="C246" s="31" t="n"/>
      <c r="D246" s="31" t="n"/>
      <c r="E246" s="31" t="n"/>
      <c r="F246" s="31" t="n"/>
      <c r="G246" s="31" t="n"/>
      <c r="H246" s="45">
        <f>IFERROR(VLOOKUP(A246,F_Tabelle,10,FALSE),"")</f>
        <v/>
      </c>
      <c r="I246" s="46">
        <f>IF(OR(D246="",F246=""),"",IF(F246=0,"",EDATE(D246,F246)))</f>
        <v/>
      </c>
      <c r="J246" s="47">
        <f>IF(I246="","",I246-TODAY())</f>
        <v/>
      </c>
      <c r="K246" s="45">
        <f>IF(OR(E246="",G246=""),"",IF(G246=0,"",E246+G246))</f>
        <v/>
      </c>
      <c r="L246" s="45">
        <f>IF(OR(K246="",H246=""),"",K246-H246)</f>
        <v/>
      </c>
      <c r="M246" s="47">
        <f>IF(AND(J246="",L246=""),"",IF(OR(AND(J246&lt;&gt;"",J246&lt;0),AND(L246&lt;&gt;"",L246&lt;0)),"🔴 Überfällig",IF(OR(AND(J246&lt;&gt;"",J246&lt;=30),AND(L246&lt;&gt;"",L246&lt;=1000)),"🟡 Bald fällig","🟢 OK")))</f>
        <v/>
      </c>
      <c r="N246" s="35" t="n"/>
    </row>
    <row r="247">
      <c r="A247" s="29" t="n"/>
      <c r="B247" s="29" t="n"/>
      <c r="C247" s="29" t="n"/>
      <c r="D247" s="29" t="n"/>
      <c r="E247" s="29" t="n"/>
      <c r="F247" s="29" t="n"/>
      <c r="G247" s="29" t="n"/>
      <c r="H247" s="45">
        <f>IFERROR(VLOOKUP(A247,F_Tabelle,10,FALSE),"")</f>
        <v/>
      </c>
      <c r="I247" s="46">
        <f>IF(OR(D247="",F247=""),"",IF(F247=0,"",EDATE(D247,F247)))</f>
        <v/>
      </c>
      <c r="J247" s="47">
        <f>IF(I247="","",I247-TODAY())</f>
        <v/>
      </c>
      <c r="K247" s="45">
        <f>IF(OR(E247="",G247=""),"",IF(G247=0,"",E247+G247))</f>
        <v/>
      </c>
      <c r="L247" s="45">
        <f>IF(OR(K247="",H247=""),"",K247-H247)</f>
        <v/>
      </c>
      <c r="M247" s="47">
        <f>IF(AND(J247="",L247=""),"",IF(OR(AND(J247&lt;&gt;"",J247&lt;0),AND(L247&lt;&gt;"",L247&lt;0)),"🔴 Überfällig",IF(OR(AND(J247&lt;&gt;"",J247&lt;=30),AND(L247&lt;&gt;"",L247&lt;=1000)),"🟡 Bald fällig","🟢 OK")))</f>
        <v/>
      </c>
      <c r="N247" s="37" t="n"/>
    </row>
    <row r="248">
      <c r="A248" s="31" t="n"/>
      <c r="B248" s="31" t="n"/>
      <c r="C248" s="31" t="n"/>
      <c r="D248" s="31" t="n"/>
      <c r="E248" s="31" t="n"/>
      <c r="F248" s="31" t="n"/>
      <c r="G248" s="31" t="n"/>
      <c r="H248" s="45">
        <f>IFERROR(VLOOKUP(A248,F_Tabelle,10,FALSE),"")</f>
        <v/>
      </c>
      <c r="I248" s="46">
        <f>IF(OR(D248="",F248=""),"",IF(F248=0,"",EDATE(D248,F248)))</f>
        <v/>
      </c>
      <c r="J248" s="47">
        <f>IF(I248="","",I248-TODAY())</f>
        <v/>
      </c>
      <c r="K248" s="45">
        <f>IF(OR(E248="",G248=""),"",IF(G248=0,"",E248+G248))</f>
        <v/>
      </c>
      <c r="L248" s="45">
        <f>IF(OR(K248="",H248=""),"",K248-H248)</f>
        <v/>
      </c>
      <c r="M248" s="47">
        <f>IF(AND(J248="",L248=""),"",IF(OR(AND(J248&lt;&gt;"",J248&lt;0),AND(L248&lt;&gt;"",L248&lt;0)),"🔴 Überfällig",IF(OR(AND(J248&lt;&gt;"",J248&lt;=30),AND(L248&lt;&gt;"",L248&lt;=1000)),"🟡 Bald fällig","🟢 OK")))</f>
        <v/>
      </c>
      <c r="N248" s="35" t="n"/>
    </row>
    <row r="249">
      <c r="A249" s="29" t="n"/>
      <c r="B249" s="29" t="n"/>
      <c r="C249" s="29" t="n"/>
      <c r="D249" s="29" t="n"/>
      <c r="E249" s="29" t="n"/>
      <c r="F249" s="29" t="n"/>
      <c r="G249" s="29" t="n"/>
      <c r="H249" s="45">
        <f>IFERROR(VLOOKUP(A249,F_Tabelle,10,FALSE),"")</f>
        <v/>
      </c>
      <c r="I249" s="46">
        <f>IF(OR(D249="",F249=""),"",IF(F249=0,"",EDATE(D249,F249)))</f>
        <v/>
      </c>
      <c r="J249" s="47">
        <f>IF(I249="","",I249-TODAY())</f>
        <v/>
      </c>
      <c r="K249" s="45">
        <f>IF(OR(E249="",G249=""),"",IF(G249=0,"",E249+G249))</f>
        <v/>
      </c>
      <c r="L249" s="45">
        <f>IF(OR(K249="",H249=""),"",K249-H249)</f>
        <v/>
      </c>
      <c r="M249" s="47">
        <f>IF(AND(J249="",L249=""),"",IF(OR(AND(J249&lt;&gt;"",J249&lt;0),AND(L249&lt;&gt;"",L249&lt;0)),"🔴 Überfällig",IF(OR(AND(J249&lt;&gt;"",J249&lt;=30),AND(L249&lt;&gt;"",L249&lt;=1000)),"🟡 Bald fällig","🟢 OK")))</f>
        <v/>
      </c>
      <c r="N249" s="37" t="n"/>
    </row>
    <row r="250">
      <c r="A250" s="31" t="n"/>
      <c r="B250" s="31" t="n"/>
      <c r="C250" s="31" t="n"/>
      <c r="D250" s="31" t="n"/>
      <c r="E250" s="31" t="n"/>
      <c r="F250" s="31" t="n"/>
      <c r="G250" s="31" t="n"/>
      <c r="H250" s="45">
        <f>IFERROR(VLOOKUP(A250,F_Tabelle,10,FALSE),"")</f>
        <v/>
      </c>
      <c r="I250" s="46">
        <f>IF(OR(D250="",F250=""),"",IF(F250=0,"",EDATE(D250,F250)))</f>
        <v/>
      </c>
      <c r="J250" s="47">
        <f>IF(I250="","",I250-TODAY())</f>
        <v/>
      </c>
      <c r="K250" s="45">
        <f>IF(OR(E250="",G250=""),"",IF(G250=0,"",E250+G250))</f>
        <v/>
      </c>
      <c r="L250" s="45">
        <f>IF(OR(K250="",H250=""),"",K250-H250)</f>
        <v/>
      </c>
      <c r="M250" s="47">
        <f>IF(AND(J250="",L250=""),"",IF(OR(AND(J250&lt;&gt;"",J250&lt;0),AND(L250&lt;&gt;"",L250&lt;0)),"🔴 Überfällig",IF(OR(AND(J250&lt;&gt;"",J250&lt;=30),AND(L250&lt;&gt;"",L250&lt;=1000)),"🟡 Bald fällig","🟢 OK")))</f>
        <v/>
      </c>
      <c r="N250" s="35" t="n"/>
    </row>
    <row r="251">
      <c r="A251" s="29" t="n"/>
      <c r="B251" s="29" t="n"/>
      <c r="C251" s="29" t="n"/>
      <c r="D251" s="29" t="n"/>
      <c r="E251" s="29" t="n"/>
      <c r="F251" s="29" t="n"/>
      <c r="G251" s="29" t="n"/>
      <c r="H251" s="45">
        <f>IFERROR(VLOOKUP(A251,F_Tabelle,10,FALSE),"")</f>
        <v/>
      </c>
      <c r="I251" s="46">
        <f>IF(OR(D251="",F251=""),"",IF(F251=0,"",EDATE(D251,F251)))</f>
        <v/>
      </c>
      <c r="J251" s="47">
        <f>IF(I251="","",I251-TODAY())</f>
        <v/>
      </c>
      <c r="K251" s="45">
        <f>IF(OR(E251="",G251=""),"",IF(G251=0,"",E251+G251))</f>
        <v/>
      </c>
      <c r="L251" s="45">
        <f>IF(OR(K251="",H251=""),"",K251-H251)</f>
        <v/>
      </c>
      <c r="M251" s="47">
        <f>IF(AND(J251="",L251=""),"",IF(OR(AND(J251&lt;&gt;"",J251&lt;0),AND(L251&lt;&gt;"",L251&lt;0)),"🔴 Überfällig",IF(OR(AND(J251&lt;&gt;"",J251&lt;=30),AND(L251&lt;&gt;"",L251&lt;=1000)),"🟡 Bald fällig","🟢 OK")))</f>
        <v/>
      </c>
      <c r="N251" s="37" t="n"/>
    </row>
    <row r="252">
      <c r="A252" s="31" t="n"/>
      <c r="B252" s="31" t="n"/>
      <c r="C252" s="31" t="n"/>
      <c r="D252" s="31" t="n"/>
      <c r="E252" s="31" t="n"/>
      <c r="F252" s="31" t="n"/>
      <c r="G252" s="31" t="n"/>
      <c r="H252" s="45">
        <f>IFERROR(VLOOKUP(A252,F_Tabelle,10,FALSE),"")</f>
        <v/>
      </c>
      <c r="I252" s="46">
        <f>IF(OR(D252="",F252=""),"",IF(F252=0,"",EDATE(D252,F252)))</f>
        <v/>
      </c>
      <c r="J252" s="47">
        <f>IF(I252="","",I252-TODAY())</f>
        <v/>
      </c>
      <c r="K252" s="45">
        <f>IF(OR(E252="",G252=""),"",IF(G252=0,"",E252+G252))</f>
        <v/>
      </c>
      <c r="L252" s="45">
        <f>IF(OR(K252="",H252=""),"",K252-H252)</f>
        <v/>
      </c>
      <c r="M252" s="47">
        <f>IF(AND(J252="",L252=""),"",IF(OR(AND(J252&lt;&gt;"",J252&lt;0),AND(L252&lt;&gt;"",L252&lt;0)),"🔴 Überfällig",IF(OR(AND(J252&lt;&gt;"",J252&lt;=30),AND(L252&lt;&gt;"",L252&lt;=1000)),"🟡 Bald fällig","🟢 OK")))</f>
        <v/>
      </c>
      <c r="N252" s="35" t="n"/>
    </row>
    <row r="253">
      <c r="A253" s="29" t="n"/>
      <c r="B253" s="29" t="n"/>
      <c r="C253" s="29" t="n"/>
      <c r="D253" s="29" t="n"/>
      <c r="E253" s="29" t="n"/>
      <c r="F253" s="29" t="n"/>
      <c r="G253" s="29" t="n"/>
      <c r="H253" s="45">
        <f>IFERROR(VLOOKUP(A253,F_Tabelle,10,FALSE),"")</f>
        <v/>
      </c>
      <c r="I253" s="46">
        <f>IF(OR(D253="",F253=""),"",IF(F253=0,"",EDATE(D253,F253)))</f>
        <v/>
      </c>
      <c r="J253" s="47">
        <f>IF(I253="","",I253-TODAY())</f>
        <v/>
      </c>
      <c r="K253" s="45">
        <f>IF(OR(E253="",G253=""),"",IF(G253=0,"",E253+G253))</f>
        <v/>
      </c>
      <c r="L253" s="45">
        <f>IF(OR(K253="",H253=""),"",K253-H253)</f>
        <v/>
      </c>
      <c r="M253" s="47">
        <f>IF(AND(J253="",L253=""),"",IF(OR(AND(J253&lt;&gt;"",J253&lt;0),AND(L253&lt;&gt;"",L253&lt;0)),"🔴 Überfällig",IF(OR(AND(J253&lt;&gt;"",J253&lt;=30),AND(L253&lt;&gt;"",L253&lt;=1000)),"🟡 Bald fällig","🟢 OK")))</f>
        <v/>
      </c>
      <c r="N253" s="37" t="n"/>
    </row>
    <row r="254">
      <c r="A254" s="31" t="n"/>
      <c r="B254" s="31" t="n"/>
      <c r="C254" s="31" t="n"/>
      <c r="D254" s="31" t="n"/>
      <c r="E254" s="31" t="n"/>
      <c r="F254" s="31" t="n"/>
      <c r="G254" s="31" t="n"/>
      <c r="H254" s="45">
        <f>IFERROR(VLOOKUP(A254,F_Tabelle,10,FALSE),"")</f>
        <v/>
      </c>
      <c r="I254" s="46">
        <f>IF(OR(D254="",F254=""),"",IF(F254=0,"",EDATE(D254,F254)))</f>
        <v/>
      </c>
      <c r="J254" s="47">
        <f>IF(I254="","",I254-TODAY())</f>
        <v/>
      </c>
      <c r="K254" s="45">
        <f>IF(OR(E254="",G254=""),"",IF(G254=0,"",E254+G254))</f>
        <v/>
      </c>
      <c r="L254" s="45">
        <f>IF(OR(K254="",H254=""),"",K254-H254)</f>
        <v/>
      </c>
      <c r="M254" s="47">
        <f>IF(AND(J254="",L254=""),"",IF(OR(AND(J254&lt;&gt;"",J254&lt;0),AND(L254&lt;&gt;"",L254&lt;0)),"🔴 Überfällig",IF(OR(AND(J254&lt;&gt;"",J254&lt;=30),AND(L254&lt;&gt;"",L254&lt;=1000)),"🟡 Bald fällig","🟢 OK")))</f>
        <v/>
      </c>
      <c r="N254" s="35" t="n"/>
    </row>
    <row r="255">
      <c r="A255" s="29" t="n"/>
      <c r="B255" s="29" t="n"/>
      <c r="C255" s="29" t="n"/>
      <c r="D255" s="29" t="n"/>
      <c r="E255" s="29" t="n"/>
      <c r="F255" s="29" t="n"/>
      <c r="G255" s="29" t="n"/>
      <c r="H255" s="45">
        <f>IFERROR(VLOOKUP(A255,F_Tabelle,10,FALSE),"")</f>
        <v/>
      </c>
      <c r="I255" s="46">
        <f>IF(OR(D255="",F255=""),"",IF(F255=0,"",EDATE(D255,F255)))</f>
        <v/>
      </c>
      <c r="J255" s="47">
        <f>IF(I255="","",I255-TODAY())</f>
        <v/>
      </c>
      <c r="K255" s="45">
        <f>IF(OR(E255="",G255=""),"",IF(G255=0,"",E255+G255))</f>
        <v/>
      </c>
      <c r="L255" s="45">
        <f>IF(OR(K255="",H255=""),"",K255-H255)</f>
        <v/>
      </c>
      <c r="M255" s="47">
        <f>IF(AND(J255="",L255=""),"",IF(OR(AND(J255&lt;&gt;"",J255&lt;0),AND(L255&lt;&gt;"",L255&lt;0)),"🔴 Überfällig",IF(OR(AND(J255&lt;&gt;"",J255&lt;=30),AND(L255&lt;&gt;"",L255&lt;=1000)),"🟡 Bald fällig","🟢 OK")))</f>
        <v/>
      </c>
      <c r="N255" s="37" t="n"/>
    </row>
    <row r="256">
      <c r="A256" s="31" t="n"/>
      <c r="B256" s="31" t="n"/>
      <c r="C256" s="31" t="n"/>
      <c r="D256" s="31" t="n"/>
      <c r="E256" s="31" t="n"/>
      <c r="F256" s="31" t="n"/>
      <c r="G256" s="31" t="n"/>
      <c r="H256" s="45">
        <f>IFERROR(VLOOKUP(A256,F_Tabelle,10,FALSE),"")</f>
        <v/>
      </c>
      <c r="I256" s="46">
        <f>IF(OR(D256="",F256=""),"",IF(F256=0,"",EDATE(D256,F256)))</f>
        <v/>
      </c>
      <c r="J256" s="47">
        <f>IF(I256="","",I256-TODAY())</f>
        <v/>
      </c>
      <c r="K256" s="45">
        <f>IF(OR(E256="",G256=""),"",IF(G256=0,"",E256+G256))</f>
        <v/>
      </c>
      <c r="L256" s="45">
        <f>IF(OR(K256="",H256=""),"",K256-H256)</f>
        <v/>
      </c>
      <c r="M256" s="47">
        <f>IF(AND(J256="",L256=""),"",IF(OR(AND(J256&lt;&gt;"",J256&lt;0),AND(L256&lt;&gt;"",L256&lt;0)),"🔴 Überfällig",IF(OR(AND(J256&lt;&gt;"",J256&lt;=30),AND(L256&lt;&gt;"",L256&lt;=1000)),"🟡 Bald fällig","🟢 OK")))</f>
        <v/>
      </c>
      <c r="N256" s="35" t="n"/>
    </row>
    <row r="257">
      <c r="A257" s="29" t="n"/>
      <c r="B257" s="29" t="n"/>
      <c r="C257" s="29" t="n"/>
      <c r="D257" s="29" t="n"/>
      <c r="E257" s="29" t="n"/>
      <c r="F257" s="29" t="n"/>
      <c r="G257" s="29" t="n"/>
      <c r="H257" s="45">
        <f>IFERROR(VLOOKUP(A257,F_Tabelle,10,FALSE),"")</f>
        <v/>
      </c>
      <c r="I257" s="46">
        <f>IF(OR(D257="",F257=""),"",IF(F257=0,"",EDATE(D257,F257)))</f>
        <v/>
      </c>
      <c r="J257" s="47">
        <f>IF(I257="","",I257-TODAY())</f>
        <v/>
      </c>
      <c r="K257" s="45">
        <f>IF(OR(E257="",G257=""),"",IF(G257=0,"",E257+G257))</f>
        <v/>
      </c>
      <c r="L257" s="45">
        <f>IF(OR(K257="",H257=""),"",K257-H257)</f>
        <v/>
      </c>
      <c r="M257" s="47">
        <f>IF(AND(J257="",L257=""),"",IF(OR(AND(J257&lt;&gt;"",J257&lt;0),AND(L257&lt;&gt;"",L257&lt;0)),"🔴 Überfällig",IF(OR(AND(J257&lt;&gt;"",J257&lt;=30),AND(L257&lt;&gt;"",L257&lt;=1000)),"🟡 Bald fällig","🟢 OK")))</f>
        <v/>
      </c>
      <c r="N257" s="37" t="n"/>
    </row>
    <row r="258">
      <c r="A258" s="31" t="n"/>
      <c r="B258" s="31" t="n"/>
      <c r="C258" s="31" t="n"/>
      <c r="D258" s="31" t="n"/>
      <c r="E258" s="31" t="n"/>
      <c r="F258" s="31" t="n"/>
      <c r="G258" s="31" t="n"/>
      <c r="H258" s="45">
        <f>IFERROR(VLOOKUP(A258,F_Tabelle,10,FALSE),"")</f>
        <v/>
      </c>
      <c r="I258" s="46">
        <f>IF(OR(D258="",F258=""),"",IF(F258=0,"",EDATE(D258,F258)))</f>
        <v/>
      </c>
      <c r="J258" s="47">
        <f>IF(I258="","",I258-TODAY())</f>
        <v/>
      </c>
      <c r="K258" s="45">
        <f>IF(OR(E258="",G258=""),"",IF(G258=0,"",E258+G258))</f>
        <v/>
      </c>
      <c r="L258" s="45">
        <f>IF(OR(K258="",H258=""),"",K258-H258)</f>
        <v/>
      </c>
      <c r="M258" s="47">
        <f>IF(AND(J258="",L258=""),"",IF(OR(AND(J258&lt;&gt;"",J258&lt;0),AND(L258&lt;&gt;"",L258&lt;0)),"🔴 Überfällig",IF(OR(AND(J258&lt;&gt;"",J258&lt;=30),AND(L258&lt;&gt;"",L258&lt;=1000)),"🟡 Bald fällig","🟢 OK")))</f>
        <v/>
      </c>
      <c r="N258" s="35" t="n"/>
    </row>
    <row r="259">
      <c r="A259" s="29" t="n"/>
      <c r="B259" s="29" t="n"/>
      <c r="C259" s="29" t="n"/>
      <c r="D259" s="29" t="n"/>
      <c r="E259" s="29" t="n"/>
      <c r="F259" s="29" t="n"/>
      <c r="G259" s="29" t="n"/>
      <c r="H259" s="45">
        <f>IFERROR(VLOOKUP(A259,F_Tabelle,10,FALSE),"")</f>
        <v/>
      </c>
      <c r="I259" s="46">
        <f>IF(OR(D259="",F259=""),"",IF(F259=0,"",EDATE(D259,F259)))</f>
        <v/>
      </c>
      <c r="J259" s="47">
        <f>IF(I259="","",I259-TODAY())</f>
        <v/>
      </c>
      <c r="K259" s="45">
        <f>IF(OR(E259="",G259=""),"",IF(G259=0,"",E259+G259))</f>
        <v/>
      </c>
      <c r="L259" s="45">
        <f>IF(OR(K259="",H259=""),"",K259-H259)</f>
        <v/>
      </c>
      <c r="M259" s="47">
        <f>IF(AND(J259="",L259=""),"",IF(OR(AND(J259&lt;&gt;"",J259&lt;0),AND(L259&lt;&gt;"",L259&lt;0)),"🔴 Überfällig",IF(OR(AND(J259&lt;&gt;"",J259&lt;=30),AND(L259&lt;&gt;"",L259&lt;=1000)),"🟡 Bald fällig","🟢 OK")))</f>
        <v/>
      </c>
      <c r="N259" s="37" t="n"/>
    </row>
    <row r="260">
      <c r="A260" s="31" t="n"/>
      <c r="B260" s="31" t="n"/>
      <c r="C260" s="31" t="n"/>
      <c r="D260" s="31" t="n"/>
      <c r="E260" s="31" t="n"/>
      <c r="F260" s="31" t="n"/>
      <c r="G260" s="31" t="n"/>
      <c r="H260" s="45">
        <f>IFERROR(VLOOKUP(A260,F_Tabelle,10,FALSE),"")</f>
        <v/>
      </c>
      <c r="I260" s="46">
        <f>IF(OR(D260="",F260=""),"",IF(F260=0,"",EDATE(D260,F260)))</f>
        <v/>
      </c>
      <c r="J260" s="47">
        <f>IF(I260="","",I260-TODAY())</f>
        <v/>
      </c>
      <c r="K260" s="45">
        <f>IF(OR(E260="",G260=""),"",IF(G260=0,"",E260+G260))</f>
        <v/>
      </c>
      <c r="L260" s="45">
        <f>IF(OR(K260="",H260=""),"",K260-H260)</f>
        <v/>
      </c>
      <c r="M260" s="47">
        <f>IF(AND(J260="",L260=""),"",IF(OR(AND(J260&lt;&gt;"",J260&lt;0),AND(L260&lt;&gt;"",L260&lt;0)),"🔴 Überfällig",IF(OR(AND(J260&lt;&gt;"",J260&lt;=30),AND(L260&lt;&gt;"",L260&lt;=1000)),"🟡 Bald fällig","🟢 OK")))</f>
        <v/>
      </c>
      <c r="N260" s="35" t="n"/>
    </row>
    <row r="261">
      <c r="A261" s="29" t="n"/>
      <c r="B261" s="29" t="n"/>
      <c r="C261" s="29" t="n"/>
      <c r="D261" s="29" t="n"/>
      <c r="E261" s="29" t="n"/>
      <c r="F261" s="29" t="n"/>
      <c r="G261" s="29" t="n"/>
      <c r="H261" s="45">
        <f>IFERROR(VLOOKUP(A261,F_Tabelle,10,FALSE),"")</f>
        <v/>
      </c>
      <c r="I261" s="46">
        <f>IF(OR(D261="",F261=""),"",IF(F261=0,"",EDATE(D261,F261)))</f>
        <v/>
      </c>
      <c r="J261" s="47">
        <f>IF(I261="","",I261-TODAY())</f>
        <v/>
      </c>
      <c r="K261" s="45">
        <f>IF(OR(E261="",G261=""),"",IF(G261=0,"",E261+G261))</f>
        <v/>
      </c>
      <c r="L261" s="45">
        <f>IF(OR(K261="",H261=""),"",K261-H261)</f>
        <v/>
      </c>
      <c r="M261" s="47">
        <f>IF(AND(J261="",L261=""),"",IF(OR(AND(J261&lt;&gt;"",J261&lt;0),AND(L261&lt;&gt;"",L261&lt;0)),"🔴 Überfällig",IF(OR(AND(J261&lt;&gt;"",J261&lt;=30),AND(L261&lt;&gt;"",L261&lt;=1000)),"🟡 Bald fällig","🟢 OK")))</f>
        <v/>
      </c>
      <c r="N261" s="37" t="n"/>
    </row>
    <row r="262">
      <c r="A262" s="31" t="n"/>
      <c r="B262" s="31" t="n"/>
      <c r="C262" s="31" t="n"/>
      <c r="D262" s="31" t="n"/>
      <c r="E262" s="31" t="n"/>
      <c r="F262" s="31" t="n"/>
      <c r="G262" s="31" t="n"/>
      <c r="H262" s="45">
        <f>IFERROR(VLOOKUP(A262,F_Tabelle,10,FALSE),"")</f>
        <v/>
      </c>
      <c r="I262" s="46">
        <f>IF(OR(D262="",F262=""),"",IF(F262=0,"",EDATE(D262,F262)))</f>
        <v/>
      </c>
      <c r="J262" s="47">
        <f>IF(I262="","",I262-TODAY())</f>
        <v/>
      </c>
      <c r="K262" s="45">
        <f>IF(OR(E262="",G262=""),"",IF(G262=0,"",E262+G262))</f>
        <v/>
      </c>
      <c r="L262" s="45">
        <f>IF(OR(K262="",H262=""),"",K262-H262)</f>
        <v/>
      </c>
      <c r="M262" s="47">
        <f>IF(AND(J262="",L262=""),"",IF(OR(AND(J262&lt;&gt;"",J262&lt;0),AND(L262&lt;&gt;"",L262&lt;0)),"🔴 Überfällig",IF(OR(AND(J262&lt;&gt;"",J262&lt;=30),AND(L262&lt;&gt;"",L262&lt;=1000)),"🟡 Bald fällig","🟢 OK")))</f>
        <v/>
      </c>
      <c r="N262" s="35" t="n"/>
    </row>
    <row r="263">
      <c r="A263" s="29" t="n"/>
      <c r="B263" s="29" t="n"/>
      <c r="C263" s="29" t="n"/>
      <c r="D263" s="29" t="n"/>
      <c r="E263" s="29" t="n"/>
      <c r="F263" s="29" t="n"/>
      <c r="G263" s="29" t="n"/>
      <c r="H263" s="45">
        <f>IFERROR(VLOOKUP(A263,F_Tabelle,10,FALSE),"")</f>
        <v/>
      </c>
      <c r="I263" s="46">
        <f>IF(OR(D263="",F263=""),"",IF(F263=0,"",EDATE(D263,F263)))</f>
        <v/>
      </c>
      <c r="J263" s="47">
        <f>IF(I263="","",I263-TODAY())</f>
        <v/>
      </c>
      <c r="K263" s="45">
        <f>IF(OR(E263="",G263=""),"",IF(G263=0,"",E263+G263))</f>
        <v/>
      </c>
      <c r="L263" s="45">
        <f>IF(OR(K263="",H263=""),"",K263-H263)</f>
        <v/>
      </c>
      <c r="M263" s="47">
        <f>IF(AND(J263="",L263=""),"",IF(OR(AND(J263&lt;&gt;"",J263&lt;0),AND(L263&lt;&gt;"",L263&lt;0)),"🔴 Überfällig",IF(OR(AND(J263&lt;&gt;"",J263&lt;=30),AND(L263&lt;&gt;"",L263&lt;=1000)),"🟡 Bald fällig","🟢 OK")))</f>
        <v/>
      </c>
      <c r="N263" s="37" t="n"/>
    </row>
    <row r="264">
      <c r="A264" s="31" t="n"/>
      <c r="B264" s="31" t="n"/>
      <c r="C264" s="31" t="n"/>
      <c r="D264" s="31" t="n"/>
      <c r="E264" s="31" t="n"/>
      <c r="F264" s="31" t="n"/>
      <c r="G264" s="31" t="n"/>
      <c r="H264" s="45">
        <f>IFERROR(VLOOKUP(A264,F_Tabelle,10,FALSE),"")</f>
        <v/>
      </c>
      <c r="I264" s="46">
        <f>IF(OR(D264="",F264=""),"",IF(F264=0,"",EDATE(D264,F264)))</f>
        <v/>
      </c>
      <c r="J264" s="47">
        <f>IF(I264="","",I264-TODAY())</f>
        <v/>
      </c>
      <c r="K264" s="45">
        <f>IF(OR(E264="",G264=""),"",IF(G264=0,"",E264+G264))</f>
        <v/>
      </c>
      <c r="L264" s="45">
        <f>IF(OR(K264="",H264=""),"",K264-H264)</f>
        <v/>
      </c>
      <c r="M264" s="47">
        <f>IF(AND(J264="",L264=""),"",IF(OR(AND(J264&lt;&gt;"",J264&lt;0),AND(L264&lt;&gt;"",L264&lt;0)),"🔴 Überfällig",IF(OR(AND(J264&lt;&gt;"",J264&lt;=30),AND(L264&lt;&gt;"",L264&lt;=1000)),"🟡 Bald fällig","🟢 OK")))</f>
        <v/>
      </c>
      <c r="N264" s="35" t="n"/>
    </row>
    <row r="265">
      <c r="A265" s="29" t="n"/>
      <c r="B265" s="29" t="n"/>
      <c r="C265" s="29" t="n"/>
      <c r="D265" s="29" t="n"/>
      <c r="E265" s="29" t="n"/>
      <c r="F265" s="29" t="n"/>
      <c r="G265" s="29" t="n"/>
      <c r="H265" s="45">
        <f>IFERROR(VLOOKUP(A265,F_Tabelle,10,FALSE),"")</f>
        <v/>
      </c>
      <c r="I265" s="46">
        <f>IF(OR(D265="",F265=""),"",IF(F265=0,"",EDATE(D265,F265)))</f>
        <v/>
      </c>
      <c r="J265" s="47">
        <f>IF(I265="","",I265-TODAY())</f>
        <v/>
      </c>
      <c r="K265" s="45">
        <f>IF(OR(E265="",G265=""),"",IF(G265=0,"",E265+G265))</f>
        <v/>
      </c>
      <c r="L265" s="45">
        <f>IF(OR(K265="",H265=""),"",K265-H265)</f>
        <v/>
      </c>
      <c r="M265" s="47">
        <f>IF(AND(J265="",L265=""),"",IF(OR(AND(J265&lt;&gt;"",J265&lt;0),AND(L265&lt;&gt;"",L265&lt;0)),"🔴 Überfällig",IF(OR(AND(J265&lt;&gt;"",J265&lt;=30),AND(L265&lt;&gt;"",L265&lt;=1000)),"🟡 Bald fällig","🟢 OK")))</f>
        <v/>
      </c>
      <c r="N265" s="37" t="n"/>
    </row>
    <row r="266">
      <c r="A266" s="31" t="n"/>
      <c r="B266" s="31" t="n"/>
      <c r="C266" s="31" t="n"/>
      <c r="D266" s="31" t="n"/>
      <c r="E266" s="31" t="n"/>
      <c r="F266" s="31" t="n"/>
      <c r="G266" s="31" t="n"/>
      <c r="H266" s="45">
        <f>IFERROR(VLOOKUP(A266,F_Tabelle,10,FALSE),"")</f>
        <v/>
      </c>
      <c r="I266" s="46">
        <f>IF(OR(D266="",F266=""),"",IF(F266=0,"",EDATE(D266,F266)))</f>
        <v/>
      </c>
      <c r="J266" s="47">
        <f>IF(I266="","",I266-TODAY())</f>
        <v/>
      </c>
      <c r="K266" s="45">
        <f>IF(OR(E266="",G266=""),"",IF(G266=0,"",E266+G266))</f>
        <v/>
      </c>
      <c r="L266" s="45">
        <f>IF(OR(K266="",H266=""),"",K266-H266)</f>
        <v/>
      </c>
      <c r="M266" s="47">
        <f>IF(AND(J266="",L266=""),"",IF(OR(AND(J266&lt;&gt;"",J266&lt;0),AND(L266&lt;&gt;"",L266&lt;0)),"🔴 Überfällig",IF(OR(AND(J266&lt;&gt;"",J266&lt;=30),AND(L266&lt;&gt;"",L266&lt;=1000)),"🟡 Bald fällig","🟢 OK")))</f>
        <v/>
      </c>
      <c r="N266" s="35" t="n"/>
    </row>
    <row r="267">
      <c r="A267" s="29" t="n"/>
      <c r="B267" s="29" t="n"/>
      <c r="C267" s="29" t="n"/>
      <c r="D267" s="29" t="n"/>
      <c r="E267" s="29" t="n"/>
      <c r="F267" s="29" t="n"/>
      <c r="G267" s="29" t="n"/>
      <c r="H267" s="45">
        <f>IFERROR(VLOOKUP(A267,F_Tabelle,10,FALSE),"")</f>
        <v/>
      </c>
      <c r="I267" s="46">
        <f>IF(OR(D267="",F267=""),"",IF(F267=0,"",EDATE(D267,F267)))</f>
        <v/>
      </c>
      <c r="J267" s="47">
        <f>IF(I267="","",I267-TODAY())</f>
        <v/>
      </c>
      <c r="K267" s="45">
        <f>IF(OR(E267="",G267=""),"",IF(G267=0,"",E267+G267))</f>
        <v/>
      </c>
      <c r="L267" s="45">
        <f>IF(OR(K267="",H267=""),"",K267-H267)</f>
        <v/>
      </c>
      <c r="M267" s="47">
        <f>IF(AND(J267="",L267=""),"",IF(OR(AND(J267&lt;&gt;"",J267&lt;0),AND(L267&lt;&gt;"",L267&lt;0)),"🔴 Überfällig",IF(OR(AND(J267&lt;&gt;"",J267&lt;=30),AND(L267&lt;&gt;"",L267&lt;=1000)),"🟡 Bald fällig","🟢 OK")))</f>
        <v/>
      </c>
      <c r="N267" s="37" t="n"/>
    </row>
    <row r="268">
      <c r="A268" s="31" t="n"/>
      <c r="B268" s="31" t="n"/>
      <c r="C268" s="31" t="n"/>
      <c r="D268" s="31" t="n"/>
      <c r="E268" s="31" t="n"/>
      <c r="F268" s="31" t="n"/>
      <c r="G268" s="31" t="n"/>
      <c r="H268" s="45">
        <f>IFERROR(VLOOKUP(A268,F_Tabelle,10,FALSE),"")</f>
        <v/>
      </c>
      <c r="I268" s="46">
        <f>IF(OR(D268="",F268=""),"",IF(F268=0,"",EDATE(D268,F268)))</f>
        <v/>
      </c>
      <c r="J268" s="47">
        <f>IF(I268="","",I268-TODAY())</f>
        <v/>
      </c>
      <c r="K268" s="45">
        <f>IF(OR(E268="",G268=""),"",IF(G268=0,"",E268+G268))</f>
        <v/>
      </c>
      <c r="L268" s="45">
        <f>IF(OR(K268="",H268=""),"",K268-H268)</f>
        <v/>
      </c>
      <c r="M268" s="47">
        <f>IF(AND(J268="",L268=""),"",IF(OR(AND(J268&lt;&gt;"",J268&lt;0),AND(L268&lt;&gt;"",L268&lt;0)),"🔴 Überfällig",IF(OR(AND(J268&lt;&gt;"",J268&lt;=30),AND(L268&lt;&gt;"",L268&lt;=1000)),"🟡 Bald fällig","🟢 OK")))</f>
        <v/>
      </c>
      <c r="N268" s="35" t="n"/>
    </row>
    <row r="269">
      <c r="A269" s="29" t="n"/>
      <c r="B269" s="29" t="n"/>
      <c r="C269" s="29" t="n"/>
      <c r="D269" s="29" t="n"/>
      <c r="E269" s="29" t="n"/>
      <c r="F269" s="29" t="n"/>
      <c r="G269" s="29" t="n"/>
      <c r="H269" s="45">
        <f>IFERROR(VLOOKUP(A269,F_Tabelle,10,FALSE),"")</f>
        <v/>
      </c>
      <c r="I269" s="46">
        <f>IF(OR(D269="",F269=""),"",IF(F269=0,"",EDATE(D269,F269)))</f>
        <v/>
      </c>
      <c r="J269" s="47">
        <f>IF(I269="","",I269-TODAY())</f>
        <v/>
      </c>
      <c r="K269" s="45">
        <f>IF(OR(E269="",G269=""),"",IF(G269=0,"",E269+G269))</f>
        <v/>
      </c>
      <c r="L269" s="45">
        <f>IF(OR(K269="",H269=""),"",K269-H269)</f>
        <v/>
      </c>
      <c r="M269" s="47">
        <f>IF(AND(J269="",L269=""),"",IF(OR(AND(J269&lt;&gt;"",J269&lt;0),AND(L269&lt;&gt;"",L269&lt;0)),"🔴 Überfällig",IF(OR(AND(J269&lt;&gt;"",J269&lt;=30),AND(L269&lt;&gt;"",L269&lt;=1000)),"🟡 Bald fällig","🟢 OK")))</f>
        <v/>
      </c>
      <c r="N269" s="37" t="n"/>
    </row>
    <row r="270">
      <c r="A270" s="31" t="n"/>
      <c r="B270" s="31" t="n"/>
      <c r="C270" s="31" t="n"/>
      <c r="D270" s="31" t="n"/>
      <c r="E270" s="31" t="n"/>
      <c r="F270" s="31" t="n"/>
      <c r="G270" s="31" t="n"/>
      <c r="H270" s="45">
        <f>IFERROR(VLOOKUP(A270,F_Tabelle,10,FALSE),"")</f>
        <v/>
      </c>
      <c r="I270" s="46">
        <f>IF(OR(D270="",F270=""),"",IF(F270=0,"",EDATE(D270,F270)))</f>
        <v/>
      </c>
      <c r="J270" s="47">
        <f>IF(I270="","",I270-TODAY())</f>
        <v/>
      </c>
      <c r="K270" s="45">
        <f>IF(OR(E270="",G270=""),"",IF(G270=0,"",E270+G270))</f>
        <v/>
      </c>
      <c r="L270" s="45">
        <f>IF(OR(K270="",H270=""),"",K270-H270)</f>
        <v/>
      </c>
      <c r="M270" s="47">
        <f>IF(AND(J270="",L270=""),"",IF(OR(AND(J270&lt;&gt;"",J270&lt;0),AND(L270&lt;&gt;"",L270&lt;0)),"🔴 Überfällig",IF(OR(AND(J270&lt;&gt;"",J270&lt;=30),AND(L270&lt;&gt;"",L270&lt;=1000)),"🟡 Bald fällig","🟢 OK")))</f>
        <v/>
      </c>
      <c r="N270" s="35" t="n"/>
    </row>
    <row r="271">
      <c r="A271" s="29" t="n"/>
      <c r="B271" s="29" t="n"/>
      <c r="C271" s="29" t="n"/>
      <c r="D271" s="29" t="n"/>
      <c r="E271" s="29" t="n"/>
      <c r="F271" s="29" t="n"/>
      <c r="G271" s="29" t="n"/>
      <c r="H271" s="45">
        <f>IFERROR(VLOOKUP(A271,F_Tabelle,10,FALSE),"")</f>
        <v/>
      </c>
      <c r="I271" s="46">
        <f>IF(OR(D271="",F271=""),"",IF(F271=0,"",EDATE(D271,F271)))</f>
        <v/>
      </c>
      <c r="J271" s="47">
        <f>IF(I271="","",I271-TODAY())</f>
        <v/>
      </c>
      <c r="K271" s="45">
        <f>IF(OR(E271="",G271=""),"",IF(G271=0,"",E271+G271))</f>
        <v/>
      </c>
      <c r="L271" s="45">
        <f>IF(OR(K271="",H271=""),"",K271-H271)</f>
        <v/>
      </c>
      <c r="M271" s="47">
        <f>IF(AND(J271="",L271=""),"",IF(OR(AND(J271&lt;&gt;"",J271&lt;0),AND(L271&lt;&gt;"",L271&lt;0)),"🔴 Überfällig",IF(OR(AND(J271&lt;&gt;"",J271&lt;=30),AND(L271&lt;&gt;"",L271&lt;=1000)),"🟡 Bald fällig","🟢 OK")))</f>
        <v/>
      </c>
      <c r="N271" s="37" t="n"/>
    </row>
    <row r="272">
      <c r="A272" s="31" t="n"/>
      <c r="B272" s="31" t="n"/>
      <c r="C272" s="31" t="n"/>
      <c r="D272" s="31" t="n"/>
      <c r="E272" s="31" t="n"/>
      <c r="F272" s="31" t="n"/>
      <c r="G272" s="31" t="n"/>
      <c r="H272" s="45">
        <f>IFERROR(VLOOKUP(A272,F_Tabelle,10,FALSE),"")</f>
        <v/>
      </c>
      <c r="I272" s="46">
        <f>IF(OR(D272="",F272=""),"",IF(F272=0,"",EDATE(D272,F272)))</f>
        <v/>
      </c>
      <c r="J272" s="47">
        <f>IF(I272="","",I272-TODAY())</f>
        <v/>
      </c>
      <c r="K272" s="45">
        <f>IF(OR(E272="",G272=""),"",IF(G272=0,"",E272+G272))</f>
        <v/>
      </c>
      <c r="L272" s="45">
        <f>IF(OR(K272="",H272=""),"",K272-H272)</f>
        <v/>
      </c>
      <c r="M272" s="47">
        <f>IF(AND(J272="",L272=""),"",IF(OR(AND(J272&lt;&gt;"",J272&lt;0),AND(L272&lt;&gt;"",L272&lt;0)),"🔴 Überfällig",IF(OR(AND(J272&lt;&gt;"",J272&lt;=30),AND(L272&lt;&gt;"",L272&lt;=1000)),"🟡 Bald fällig","🟢 OK")))</f>
        <v/>
      </c>
      <c r="N272" s="35" t="n"/>
    </row>
    <row r="273">
      <c r="A273" s="29" t="n"/>
      <c r="B273" s="29" t="n"/>
      <c r="C273" s="29" t="n"/>
      <c r="D273" s="29" t="n"/>
      <c r="E273" s="29" t="n"/>
      <c r="F273" s="29" t="n"/>
      <c r="G273" s="29" t="n"/>
      <c r="H273" s="45">
        <f>IFERROR(VLOOKUP(A273,F_Tabelle,10,FALSE),"")</f>
        <v/>
      </c>
      <c r="I273" s="46">
        <f>IF(OR(D273="",F273=""),"",IF(F273=0,"",EDATE(D273,F273)))</f>
        <v/>
      </c>
      <c r="J273" s="47">
        <f>IF(I273="","",I273-TODAY())</f>
        <v/>
      </c>
      <c r="K273" s="45">
        <f>IF(OR(E273="",G273=""),"",IF(G273=0,"",E273+G273))</f>
        <v/>
      </c>
      <c r="L273" s="45">
        <f>IF(OR(K273="",H273=""),"",K273-H273)</f>
        <v/>
      </c>
      <c r="M273" s="47">
        <f>IF(AND(J273="",L273=""),"",IF(OR(AND(J273&lt;&gt;"",J273&lt;0),AND(L273&lt;&gt;"",L273&lt;0)),"🔴 Überfällig",IF(OR(AND(J273&lt;&gt;"",J273&lt;=30),AND(L273&lt;&gt;"",L273&lt;=1000)),"🟡 Bald fällig","🟢 OK")))</f>
        <v/>
      </c>
      <c r="N273" s="37" t="n"/>
    </row>
    <row r="274">
      <c r="A274" s="31" t="n"/>
      <c r="B274" s="31" t="n"/>
      <c r="C274" s="31" t="n"/>
      <c r="D274" s="31" t="n"/>
      <c r="E274" s="31" t="n"/>
      <c r="F274" s="31" t="n"/>
      <c r="G274" s="31" t="n"/>
      <c r="H274" s="45">
        <f>IFERROR(VLOOKUP(A274,F_Tabelle,10,FALSE),"")</f>
        <v/>
      </c>
      <c r="I274" s="46">
        <f>IF(OR(D274="",F274=""),"",IF(F274=0,"",EDATE(D274,F274)))</f>
        <v/>
      </c>
      <c r="J274" s="47">
        <f>IF(I274="","",I274-TODAY())</f>
        <v/>
      </c>
      <c r="K274" s="45">
        <f>IF(OR(E274="",G274=""),"",IF(G274=0,"",E274+G274))</f>
        <v/>
      </c>
      <c r="L274" s="45">
        <f>IF(OR(K274="",H274=""),"",K274-H274)</f>
        <v/>
      </c>
      <c r="M274" s="47">
        <f>IF(AND(J274="",L274=""),"",IF(OR(AND(J274&lt;&gt;"",J274&lt;0),AND(L274&lt;&gt;"",L274&lt;0)),"🔴 Überfällig",IF(OR(AND(J274&lt;&gt;"",J274&lt;=30),AND(L274&lt;&gt;"",L274&lt;=1000)),"🟡 Bald fällig","🟢 OK")))</f>
        <v/>
      </c>
      <c r="N274" s="35" t="n"/>
    </row>
    <row r="275">
      <c r="A275" s="29" t="n"/>
      <c r="B275" s="29" t="n"/>
      <c r="C275" s="29" t="n"/>
      <c r="D275" s="29" t="n"/>
      <c r="E275" s="29" t="n"/>
      <c r="F275" s="29" t="n"/>
      <c r="G275" s="29" t="n"/>
      <c r="H275" s="45">
        <f>IFERROR(VLOOKUP(A275,F_Tabelle,10,FALSE),"")</f>
        <v/>
      </c>
      <c r="I275" s="46">
        <f>IF(OR(D275="",F275=""),"",IF(F275=0,"",EDATE(D275,F275)))</f>
        <v/>
      </c>
      <c r="J275" s="47">
        <f>IF(I275="","",I275-TODAY())</f>
        <v/>
      </c>
      <c r="K275" s="45">
        <f>IF(OR(E275="",G275=""),"",IF(G275=0,"",E275+G275))</f>
        <v/>
      </c>
      <c r="L275" s="45">
        <f>IF(OR(K275="",H275=""),"",K275-H275)</f>
        <v/>
      </c>
      <c r="M275" s="47">
        <f>IF(AND(J275="",L275=""),"",IF(OR(AND(J275&lt;&gt;"",J275&lt;0),AND(L275&lt;&gt;"",L275&lt;0)),"🔴 Überfällig",IF(OR(AND(J275&lt;&gt;"",J275&lt;=30),AND(L275&lt;&gt;"",L275&lt;=1000)),"🟡 Bald fällig","🟢 OK")))</f>
        <v/>
      </c>
      <c r="N275" s="37" t="n"/>
    </row>
    <row r="276">
      <c r="A276" s="31" t="n"/>
      <c r="B276" s="31" t="n"/>
      <c r="C276" s="31" t="n"/>
      <c r="D276" s="31" t="n"/>
      <c r="E276" s="31" t="n"/>
      <c r="F276" s="31" t="n"/>
      <c r="G276" s="31" t="n"/>
      <c r="H276" s="45">
        <f>IFERROR(VLOOKUP(A276,F_Tabelle,10,FALSE),"")</f>
        <v/>
      </c>
      <c r="I276" s="46">
        <f>IF(OR(D276="",F276=""),"",IF(F276=0,"",EDATE(D276,F276)))</f>
        <v/>
      </c>
      <c r="J276" s="47">
        <f>IF(I276="","",I276-TODAY())</f>
        <v/>
      </c>
      <c r="K276" s="45">
        <f>IF(OR(E276="",G276=""),"",IF(G276=0,"",E276+G276))</f>
        <v/>
      </c>
      <c r="L276" s="45">
        <f>IF(OR(K276="",H276=""),"",K276-H276)</f>
        <v/>
      </c>
      <c r="M276" s="47">
        <f>IF(AND(J276="",L276=""),"",IF(OR(AND(J276&lt;&gt;"",J276&lt;0),AND(L276&lt;&gt;"",L276&lt;0)),"🔴 Überfällig",IF(OR(AND(J276&lt;&gt;"",J276&lt;=30),AND(L276&lt;&gt;"",L276&lt;=1000)),"🟡 Bald fällig","🟢 OK")))</f>
        <v/>
      </c>
      <c r="N276" s="35" t="n"/>
    </row>
    <row r="277">
      <c r="A277" s="29" t="n"/>
      <c r="B277" s="29" t="n"/>
      <c r="C277" s="29" t="n"/>
      <c r="D277" s="29" t="n"/>
      <c r="E277" s="29" t="n"/>
      <c r="F277" s="29" t="n"/>
      <c r="G277" s="29" t="n"/>
      <c r="H277" s="45">
        <f>IFERROR(VLOOKUP(A277,F_Tabelle,10,FALSE),"")</f>
        <v/>
      </c>
      <c r="I277" s="46">
        <f>IF(OR(D277="",F277=""),"",IF(F277=0,"",EDATE(D277,F277)))</f>
        <v/>
      </c>
      <c r="J277" s="47">
        <f>IF(I277="","",I277-TODAY())</f>
        <v/>
      </c>
      <c r="K277" s="45">
        <f>IF(OR(E277="",G277=""),"",IF(G277=0,"",E277+G277))</f>
        <v/>
      </c>
      <c r="L277" s="45">
        <f>IF(OR(K277="",H277=""),"",K277-H277)</f>
        <v/>
      </c>
      <c r="M277" s="47">
        <f>IF(AND(J277="",L277=""),"",IF(OR(AND(J277&lt;&gt;"",J277&lt;0),AND(L277&lt;&gt;"",L277&lt;0)),"🔴 Überfällig",IF(OR(AND(J277&lt;&gt;"",J277&lt;=30),AND(L277&lt;&gt;"",L277&lt;=1000)),"🟡 Bald fällig","🟢 OK")))</f>
        <v/>
      </c>
      <c r="N277" s="37" t="n"/>
    </row>
    <row r="278">
      <c r="A278" s="31" t="n"/>
      <c r="B278" s="31" t="n"/>
      <c r="C278" s="31" t="n"/>
      <c r="D278" s="31" t="n"/>
      <c r="E278" s="31" t="n"/>
      <c r="F278" s="31" t="n"/>
      <c r="G278" s="31" t="n"/>
      <c r="H278" s="45">
        <f>IFERROR(VLOOKUP(A278,F_Tabelle,10,FALSE),"")</f>
        <v/>
      </c>
      <c r="I278" s="46">
        <f>IF(OR(D278="",F278=""),"",IF(F278=0,"",EDATE(D278,F278)))</f>
        <v/>
      </c>
      <c r="J278" s="47">
        <f>IF(I278="","",I278-TODAY())</f>
        <v/>
      </c>
      <c r="K278" s="45">
        <f>IF(OR(E278="",G278=""),"",IF(G278=0,"",E278+G278))</f>
        <v/>
      </c>
      <c r="L278" s="45">
        <f>IF(OR(K278="",H278=""),"",K278-H278)</f>
        <v/>
      </c>
      <c r="M278" s="47">
        <f>IF(AND(J278="",L278=""),"",IF(OR(AND(J278&lt;&gt;"",J278&lt;0),AND(L278&lt;&gt;"",L278&lt;0)),"🔴 Überfällig",IF(OR(AND(J278&lt;&gt;"",J278&lt;=30),AND(L278&lt;&gt;"",L278&lt;=1000)),"🟡 Bald fällig","🟢 OK")))</f>
        <v/>
      </c>
      <c r="N278" s="35" t="n"/>
    </row>
    <row r="279">
      <c r="A279" s="29" t="n"/>
      <c r="B279" s="29" t="n"/>
      <c r="C279" s="29" t="n"/>
      <c r="D279" s="29" t="n"/>
      <c r="E279" s="29" t="n"/>
      <c r="F279" s="29" t="n"/>
      <c r="G279" s="29" t="n"/>
      <c r="H279" s="45">
        <f>IFERROR(VLOOKUP(A279,F_Tabelle,10,FALSE),"")</f>
        <v/>
      </c>
      <c r="I279" s="46">
        <f>IF(OR(D279="",F279=""),"",IF(F279=0,"",EDATE(D279,F279)))</f>
        <v/>
      </c>
      <c r="J279" s="47">
        <f>IF(I279="","",I279-TODAY())</f>
        <v/>
      </c>
      <c r="K279" s="45">
        <f>IF(OR(E279="",G279=""),"",IF(G279=0,"",E279+G279))</f>
        <v/>
      </c>
      <c r="L279" s="45">
        <f>IF(OR(K279="",H279=""),"",K279-H279)</f>
        <v/>
      </c>
      <c r="M279" s="47">
        <f>IF(AND(J279="",L279=""),"",IF(OR(AND(J279&lt;&gt;"",J279&lt;0),AND(L279&lt;&gt;"",L279&lt;0)),"🔴 Überfällig",IF(OR(AND(J279&lt;&gt;"",J279&lt;=30),AND(L279&lt;&gt;"",L279&lt;=1000)),"🟡 Bald fällig","🟢 OK")))</f>
        <v/>
      </c>
      <c r="N279" s="37" t="n"/>
    </row>
    <row r="280">
      <c r="A280" s="31" t="n"/>
      <c r="B280" s="31" t="n"/>
      <c r="C280" s="31" t="n"/>
      <c r="D280" s="31" t="n"/>
      <c r="E280" s="31" t="n"/>
      <c r="F280" s="31" t="n"/>
      <c r="G280" s="31" t="n"/>
      <c r="H280" s="45">
        <f>IFERROR(VLOOKUP(A280,F_Tabelle,10,FALSE),"")</f>
        <v/>
      </c>
      <c r="I280" s="46">
        <f>IF(OR(D280="",F280=""),"",IF(F280=0,"",EDATE(D280,F280)))</f>
        <v/>
      </c>
      <c r="J280" s="47">
        <f>IF(I280="","",I280-TODAY())</f>
        <v/>
      </c>
      <c r="K280" s="45">
        <f>IF(OR(E280="",G280=""),"",IF(G280=0,"",E280+G280))</f>
        <v/>
      </c>
      <c r="L280" s="45">
        <f>IF(OR(K280="",H280=""),"",K280-H280)</f>
        <v/>
      </c>
      <c r="M280" s="47">
        <f>IF(AND(J280="",L280=""),"",IF(OR(AND(J280&lt;&gt;"",J280&lt;0),AND(L280&lt;&gt;"",L280&lt;0)),"🔴 Überfällig",IF(OR(AND(J280&lt;&gt;"",J280&lt;=30),AND(L280&lt;&gt;"",L280&lt;=1000)),"🟡 Bald fällig","🟢 OK")))</f>
        <v/>
      </c>
      <c r="N280" s="35" t="n"/>
    </row>
    <row r="281">
      <c r="A281" s="29" t="n"/>
      <c r="B281" s="29" t="n"/>
      <c r="C281" s="29" t="n"/>
      <c r="D281" s="29" t="n"/>
      <c r="E281" s="29" t="n"/>
      <c r="F281" s="29" t="n"/>
      <c r="G281" s="29" t="n"/>
      <c r="H281" s="45">
        <f>IFERROR(VLOOKUP(A281,F_Tabelle,10,FALSE),"")</f>
        <v/>
      </c>
      <c r="I281" s="46">
        <f>IF(OR(D281="",F281=""),"",IF(F281=0,"",EDATE(D281,F281)))</f>
        <v/>
      </c>
      <c r="J281" s="47">
        <f>IF(I281="","",I281-TODAY())</f>
        <v/>
      </c>
      <c r="K281" s="45">
        <f>IF(OR(E281="",G281=""),"",IF(G281=0,"",E281+G281))</f>
        <v/>
      </c>
      <c r="L281" s="45">
        <f>IF(OR(K281="",H281=""),"",K281-H281)</f>
        <v/>
      </c>
      <c r="M281" s="47">
        <f>IF(AND(J281="",L281=""),"",IF(OR(AND(J281&lt;&gt;"",J281&lt;0),AND(L281&lt;&gt;"",L281&lt;0)),"🔴 Überfällig",IF(OR(AND(J281&lt;&gt;"",J281&lt;=30),AND(L281&lt;&gt;"",L281&lt;=1000)),"🟡 Bald fällig","🟢 OK")))</f>
        <v/>
      </c>
      <c r="N281" s="37" t="n"/>
    </row>
    <row r="282">
      <c r="A282" s="31" t="n"/>
      <c r="B282" s="31" t="n"/>
      <c r="C282" s="31" t="n"/>
      <c r="D282" s="31" t="n"/>
      <c r="E282" s="31" t="n"/>
      <c r="F282" s="31" t="n"/>
      <c r="G282" s="31" t="n"/>
      <c r="H282" s="45">
        <f>IFERROR(VLOOKUP(A282,F_Tabelle,10,FALSE),"")</f>
        <v/>
      </c>
      <c r="I282" s="46">
        <f>IF(OR(D282="",F282=""),"",IF(F282=0,"",EDATE(D282,F282)))</f>
        <v/>
      </c>
      <c r="J282" s="47">
        <f>IF(I282="","",I282-TODAY())</f>
        <v/>
      </c>
      <c r="K282" s="45">
        <f>IF(OR(E282="",G282=""),"",IF(G282=0,"",E282+G282))</f>
        <v/>
      </c>
      <c r="L282" s="45">
        <f>IF(OR(K282="",H282=""),"",K282-H282)</f>
        <v/>
      </c>
      <c r="M282" s="47">
        <f>IF(AND(J282="",L282=""),"",IF(OR(AND(J282&lt;&gt;"",J282&lt;0),AND(L282&lt;&gt;"",L282&lt;0)),"🔴 Überfällig",IF(OR(AND(J282&lt;&gt;"",J282&lt;=30),AND(L282&lt;&gt;"",L282&lt;=1000)),"🟡 Bald fällig","🟢 OK")))</f>
        <v/>
      </c>
      <c r="N282" s="35" t="n"/>
    </row>
    <row r="283">
      <c r="A283" s="29" t="n"/>
      <c r="B283" s="29" t="n"/>
      <c r="C283" s="29" t="n"/>
      <c r="D283" s="29" t="n"/>
      <c r="E283" s="29" t="n"/>
      <c r="F283" s="29" t="n"/>
      <c r="G283" s="29" t="n"/>
      <c r="H283" s="45">
        <f>IFERROR(VLOOKUP(A283,F_Tabelle,10,FALSE),"")</f>
        <v/>
      </c>
      <c r="I283" s="46">
        <f>IF(OR(D283="",F283=""),"",IF(F283=0,"",EDATE(D283,F283)))</f>
        <v/>
      </c>
      <c r="J283" s="47">
        <f>IF(I283="","",I283-TODAY())</f>
        <v/>
      </c>
      <c r="K283" s="45">
        <f>IF(OR(E283="",G283=""),"",IF(G283=0,"",E283+G283))</f>
        <v/>
      </c>
      <c r="L283" s="45">
        <f>IF(OR(K283="",H283=""),"",K283-H283)</f>
        <v/>
      </c>
      <c r="M283" s="47">
        <f>IF(AND(J283="",L283=""),"",IF(OR(AND(J283&lt;&gt;"",J283&lt;0),AND(L283&lt;&gt;"",L283&lt;0)),"🔴 Überfällig",IF(OR(AND(J283&lt;&gt;"",J283&lt;=30),AND(L283&lt;&gt;"",L283&lt;=1000)),"🟡 Bald fällig","🟢 OK")))</f>
        <v/>
      </c>
      <c r="N283" s="37" t="n"/>
    </row>
    <row r="284">
      <c r="A284" s="31" t="n"/>
      <c r="B284" s="31" t="n"/>
      <c r="C284" s="31" t="n"/>
      <c r="D284" s="31" t="n"/>
      <c r="E284" s="31" t="n"/>
      <c r="F284" s="31" t="n"/>
      <c r="G284" s="31" t="n"/>
      <c r="H284" s="45">
        <f>IFERROR(VLOOKUP(A284,F_Tabelle,10,FALSE),"")</f>
        <v/>
      </c>
      <c r="I284" s="46">
        <f>IF(OR(D284="",F284=""),"",IF(F284=0,"",EDATE(D284,F284)))</f>
        <v/>
      </c>
      <c r="J284" s="47">
        <f>IF(I284="","",I284-TODAY())</f>
        <v/>
      </c>
      <c r="K284" s="45">
        <f>IF(OR(E284="",G284=""),"",IF(G284=0,"",E284+G284))</f>
        <v/>
      </c>
      <c r="L284" s="45">
        <f>IF(OR(K284="",H284=""),"",K284-H284)</f>
        <v/>
      </c>
      <c r="M284" s="47">
        <f>IF(AND(J284="",L284=""),"",IF(OR(AND(J284&lt;&gt;"",J284&lt;0),AND(L284&lt;&gt;"",L284&lt;0)),"🔴 Überfällig",IF(OR(AND(J284&lt;&gt;"",J284&lt;=30),AND(L284&lt;&gt;"",L284&lt;=1000)),"🟡 Bald fällig","🟢 OK")))</f>
        <v/>
      </c>
      <c r="N284" s="35" t="n"/>
    </row>
    <row r="285">
      <c r="A285" s="29" t="n"/>
      <c r="B285" s="29" t="n"/>
      <c r="C285" s="29" t="n"/>
      <c r="D285" s="29" t="n"/>
      <c r="E285" s="29" t="n"/>
      <c r="F285" s="29" t="n"/>
      <c r="G285" s="29" t="n"/>
      <c r="H285" s="45">
        <f>IFERROR(VLOOKUP(A285,F_Tabelle,10,FALSE),"")</f>
        <v/>
      </c>
      <c r="I285" s="46">
        <f>IF(OR(D285="",F285=""),"",IF(F285=0,"",EDATE(D285,F285)))</f>
        <v/>
      </c>
      <c r="J285" s="47">
        <f>IF(I285="","",I285-TODAY())</f>
        <v/>
      </c>
      <c r="K285" s="45">
        <f>IF(OR(E285="",G285=""),"",IF(G285=0,"",E285+G285))</f>
        <v/>
      </c>
      <c r="L285" s="45">
        <f>IF(OR(K285="",H285=""),"",K285-H285)</f>
        <v/>
      </c>
      <c r="M285" s="47">
        <f>IF(AND(J285="",L285=""),"",IF(OR(AND(J285&lt;&gt;"",J285&lt;0),AND(L285&lt;&gt;"",L285&lt;0)),"🔴 Überfällig",IF(OR(AND(J285&lt;&gt;"",J285&lt;=30),AND(L285&lt;&gt;"",L285&lt;=1000)),"🟡 Bald fällig","🟢 OK")))</f>
        <v/>
      </c>
      <c r="N285" s="37" t="n"/>
    </row>
    <row r="286">
      <c r="A286" s="31" t="n"/>
      <c r="B286" s="31" t="n"/>
      <c r="C286" s="31" t="n"/>
      <c r="D286" s="31" t="n"/>
      <c r="E286" s="31" t="n"/>
      <c r="F286" s="31" t="n"/>
      <c r="G286" s="31" t="n"/>
      <c r="H286" s="45">
        <f>IFERROR(VLOOKUP(A286,F_Tabelle,10,FALSE),"")</f>
        <v/>
      </c>
      <c r="I286" s="46">
        <f>IF(OR(D286="",F286=""),"",IF(F286=0,"",EDATE(D286,F286)))</f>
        <v/>
      </c>
      <c r="J286" s="47">
        <f>IF(I286="","",I286-TODAY())</f>
        <v/>
      </c>
      <c r="K286" s="45">
        <f>IF(OR(E286="",G286=""),"",IF(G286=0,"",E286+G286))</f>
        <v/>
      </c>
      <c r="L286" s="45">
        <f>IF(OR(K286="",H286=""),"",K286-H286)</f>
        <v/>
      </c>
      <c r="M286" s="47">
        <f>IF(AND(J286="",L286=""),"",IF(OR(AND(J286&lt;&gt;"",J286&lt;0),AND(L286&lt;&gt;"",L286&lt;0)),"🔴 Überfällig",IF(OR(AND(J286&lt;&gt;"",J286&lt;=30),AND(L286&lt;&gt;"",L286&lt;=1000)),"🟡 Bald fällig","🟢 OK")))</f>
        <v/>
      </c>
      <c r="N286" s="35" t="n"/>
    </row>
    <row r="287">
      <c r="A287" s="29" t="n"/>
      <c r="B287" s="29" t="n"/>
      <c r="C287" s="29" t="n"/>
      <c r="D287" s="29" t="n"/>
      <c r="E287" s="29" t="n"/>
      <c r="F287" s="29" t="n"/>
      <c r="G287" s="29" t="n"/>
      <c r="H287" s="45">
        <f>IFERROR(VLOOKUP(A287,F_Tabelle,10,FALSE),"")</f>
        <v/>
      </c>
      <c r="I287" s="46">
        <f>IF(OR(D287="",F287=""),"",IF(F287=0,"",EDATE(D287,F287)))</f>
        <v/>
      </c>
      <c r="J287" s="47">
        <f>IF(I287="","",I287-TODAY())</f>
        <v/>
      </c>
      <c r="K287" s="45">
        <f>IF(OR(E287="",G287=""),"",IF(G287=0,"",E287+G287))</f>
        <v/>
      </c>
      <c r="L287" s="45">
        <f>IF(OR(K287="",H287=""),"",K287-H287)</f>
        <v/>
      </c>
      <c r="M287" s="47">
        <f>IF(AND(J287="",L287=""),"",IF(OR(AND(J287&lt;&gt;"",J287&lt;0),AND(L287&lt;&gt;"",L287&lt;0)),"🔴 Überfällig",IF(OR(AND(J287&lt;&gt;"",J287&lt;=30),AND(L287&lt;&gt;"",L287&lt;=1000)),"🟡 Bald fällig","🟢 OK")))</f>
        <v/>
      </c>
      <c r="N287" s="37" t="n"/>
    </row>
    <row r="288">
      <c r="A288" s="31" t="n"/>
      <c r="B288" s="31" t="n"/>
      <c r="C288" s="31" t="n"/>
      <c r="D288" s="31" t="n"/>
      <c r="E288" s="31" t="n"/>
      <c r="F288" s="31" t="n"/>
      <c r="G288" s="31" t="n"/>
      <c r="H288" s="45">
        <f>IFERROR(VLOOKUP(A288,F_Tabelle,10,FALSE),"")</f>
        <v/>
      </c>
      <c r="I288" s="46">
        <f>IF(OR(D288="",F288=""),"",IF(F288=0,"",EDATE(D288,F288)))</f>
        <v/>
      </c>
      <c r="J288" s="47">
        <f>IF(I288="","",I288-TODAY())</f>
        <v/>
      </c>
      <c r="K288" s="45">
        <f>IF(OR(E288="",G288=""),"",IF(G288=0,"",E288+G288))</f>
        <v/>
      </c>
      <c r="L288" s="45">
        <f>IF(OR(K288="",H288=""),"",K288-H288)</f>
        <v/>
      </c>
      <c r="M288" s="47">
        <f>IF(AND(J288="",L288=""),"",IF(OR(AND(J288&lt;&gt;"",J288&lt;0),AND(L288&lt;&gt;"",L288&lt;0)),"🔴 Überfällig",IF(OR(AND(J288&lt;&gt;"",J288&lt;=30),AND(L288&lt;&gt;"",L288&lt;=1000)),"🟡 Bald fällig","🟢 OK")))</f>
        <v/>
      </c>
      <c r="N288" s="35" t="n"/>
    </row>
    <row r="289">
      <c r="A289" s="29" t="n"/>
      <c r="B289" s="29" t="n"/>
      <c r="C289" s="29" t="n"/>
      <c r="D289" s="29" t="n"/>
      <c r="E289" s="29" t="n"/>
      <c r="F289" s="29" t="n"/>
      <c r="G289" s="29" t="n"/>
      <c r="H289" s="45">
        <f>IFERROR(VLOOKUP(A289,F_Tabelle,10,FALSE),"")</f>
        <v/>
      </c>
      <c r="I289" s="46">
        <f>IF(OR(D289="",F289=""),"",IF(F289=0,"",EDATE(D289,F289)))</f>
        <v/>
      </c>
      <c r="J289" s="47">
        <f>IF(I289="","",I289-TODAY())</f>
        <v/>
      </c>
      <c r="K289" s="45">
        <f>IF(OR(E289="",G289=""),"",IF(G289=0,"",E289+G289))</f>
        <v/>
      </c>
      <c r="L289" s="45">
        <f>IF(OR(K289="",H289=""),"",K289-H289)</f>
        <v/>
      </c>
      <c r="M289" s="47">
        <f>IF(AND(J289="",L289=""),"",IF(OR(AND(J289&lt;&gt;"",J289&lt;0),AND(L289&lt;&gt;"",L289&lt;0)),"🔴 Überfällig",IF(OR(AND(J289&lt;&gt;"",J289&lt;=30),AND(L289&lt;&gt;"",L289&lt;=1000)),"🟡 Bald fällig","🟢 OK")))</f>
        <v/>
      </c>
      <c r="N289" s="37" t="n"/>
    </row>
    <row r="290">
      <c r="A290" s="31" t="n"/>
      <c r="B290" s="31" t="n"/>
      <c r="C290" s="31" t="n"/>
      <c r="D290" s="31" t="n"/>
      <c r="E290" s="31" t="n"/>
      <c r="F290" s="31" t="n"/>
      <c r="G290" s="31" t="n"/>
      <c r="H290" s="45">
        <f>IFERROR(VLOOKUP(A290,F_Tabelle,10,FALSE),"")</f>
        <v/>
      </c>
      <c r="I290" s="46">
        <f>IF(OR(D290="",F290=""),"",IF(F290=0,"",EDATE(D290,F290)))</f>
        <v/>
      </c>
      <c r="J290" s="47">
        <f>IF(I290="","",I290-TODAY())</f>
        <v/>
      </c>
      <c r="K290" s="45">
        <f>IF(OR(E290="",G290=""),"",IF(G290=0,"",E290+G290))</f>
        <v/>
      </c>
      <c r="L290" s="45">
        <f>IF(OR(K290="",H290=""),"",K290-H290)</f>
        <v/>
      </c>
      <c r="M290" s="47">
        <f>IF(AND(J290="",L290=""),"",IF(OR(AND(J290&lt;&gt;"",J290&lt;0),AND(L290&lt;&gt;"",L290&lt;0)),"🔴 Überfällig",IF(OR(AND(J290&lt;&gt;"",J290&lt;=30),AND(L290&lt;&gt;"",L290&lt;=1000)),"🟡 Bald fällig","🟢 OK")))</f>
        <v/>
      </c>
      <c r="N290" s="35" t="n"/>
    </row>
    <row r="291">
      <c r="A291" s="29" t="n"/>
      <c r="B291" s="29" t="n"/>
      <c r="C291" s="29" t="n"/>
      <c r="D291" s="29" t="n"/>
      <c r="E291" s="29" t="n"/>
      <c r="F291" s="29" t="n"/>
      <c r="G291" s="29" t="n"/>
      <c r="H291" s="45">
        <f>IFERROR(VLOOKUP(A291,F_Tabelle,10,FALSE),"")</f>
        <v/>
      </c>
      <c r="I291" s="46">
        <f>IF(OR(D291="",F291=""),"",IF(F291=0,"",EDATE(D291,F291)))</f>
        <v/>
      </c>
      <c r="J291" s="47">
        <f>IF(I291="","",I291-TODAY())</f>
        <v/>
      </c>
      <c r="K291" s="45">
        <f>IF(OR(E291="",G291=""),"",IF(G291=0,"",E291+G291))</f>
        <v/>
      </c>
      <c r="L291" s="45">
        <f>IF(OR(K291="",H291=""),"",K291-H291)</f>
        <v/>
      </c>
      <c r="M291" s="47">
        <f>IF(AND(J291="",L291=""),"",IF(OR(AND(J291&lt;&gt;"",J291&lt;0),AND(L291&lt;&gt;"",L291&lt;0)),"🔴 Überfällig",IF(OR(AND(J291&lt;&gt;"",J291&lt;=30),AND(L291&lt;&gt;"",L291&lt;=1000)),"🟡 Bald fällig","🟢 OK")))</f>
        <v/>
      </c>
      <c r="N291" s="37" t="n"/>
    </row>
    <row r="292">
      <c r="A292" s="31" t="n"/>
      <c r="B292" s="31" t="n"/>
      <c r="C292" s="31" t="n"/>
      <c r="D292" s="31" t="n"/>
      <c r="E292" s="31" t="n"/>
      <c r="F292" s="31" t="n"/>
      <c r="G292" s="31" t="n"/>
      <c r="H292" s="45">
        <f>IFERROR(VLOOKUP(A292,F_Tabelle,10,FALSE),"")</f>
        <v/>
      </c>
      <c r="I292" s="46">
        <f>IF(OR(D292="",F292=""),"",IF(F292=0,"",EDATE(D292,F292)))</f>
        <v/>
      </c>
      <c r="J292" s="47">
        <f>IF(I292="","",I292-TODAY())</f>
        <v/>
      </c>
      <c r="K292" s="45">
        <f>IF(OR(E292="",G292=""),"",IF(G292=0,"",E292+G292))</f>
        <v/>
      </c>
      <c r="L292" s="45">
        <f>IF(OR(K292="",H292=""),"",K292-H292)</f>
        <v/>
      </c>
      <c r="M292" s="47">
        <f>IF(AND(J292="",L292=""),"",IF(OR(AND(J292&lt;&gt;"",J292&lt;0),AND(L292&lt;&gt;"",L292&lt;0)),"🔴 Überfällig",IF(OR(AND(J292&lt;&gt;"",J292&lt;=30),AND(L292&lt;&gt;"",L292&lt;=1000)),"🟡 Bald fällig","🟢 OK")))</f>
        <v/>
      </c>
      <c r="N292" s="35" t="n"/>
    </row>
    <row r="293">
      <c r="A293" s="29" t="n"/>
      <c r="B293" s="29" t="n"/>
      <c r="C293" s="29" t="n"/>
      <c r="D293" s="29" t="n"/>
      <c r="E293" s="29" t="n"/>
      <c r="F293" s="29" t="n"/>
      <c r="G293" s="29" t="n"/>
      <c r="H293" s="45">
        <f>IFERROR(VLOOKUP(A293,F_Tabelle,10,FALSE),"")</f>
        <v/>
      </c>
      <c r="I293" s="46">
        <f>IF(OR(D293="",F293=""),"",IF(F293=0,"",EDATE(D293,F293)))</f>
        <v/>
      </c>
      <c r="J293" s="47">
        <f>IF(I293="","",I293-TODAY())</f>
        <v/>
      </c>
      <c r="K293" s="45">
        <f>IF(OR(E293="",G293=""),"",IF(G293=0,"",E293+G293))</f>
        <v/>
      </c>
      <c r="L293" s="45">
        <f>IF(OR(K293="",H293=""),"",K293-H293)</f>
        <v/>
      </c>
      <c r="M293" s="47">
        <f>IF(AND(J293="",L293=""),"",IF(OR(AND(J293&lt;&gt;"",J293&lt;0),AND(L293&lt;&gt;"",L293&lt;0)),"🔴 Überfällig",IF(OR(AND(J293&lt;&gt;"",J293&lt;=30),AND(L293&lt;&gt;"",L293&lt;=1000)),"🟡 Bald fällig","🟢 OK")))</f>
        <v/>
      </c>
      <c r="N293" s="37" t="n"/>
    </row>
    <row r="294">
      <c r="A294" s="31" t="n"/>
      <c r="B294" s="31" t="n"/>
      <c r="C294" s="31" t="n"/>
      <c r="D294" s="31" t="n"/>
      <c r="E294" s="31" t="n"/>
      <c r="F294" s="31" t="n"/>
      <c r="G294" s="31" t="n"/>
      <c r="H294" s="45">
        <f>IFERROR(VLOOKUP(A294,F_Tabelle,10,FALSE),"")</f>
        <v/>
      </c>
      <c r="I294" s="46">
        <f>IF(OR(D294="",F294=""),"",IF(F294=0,"",EDATE(D294,F294)))</f>
        <v/>
      </c>
      <c r="J294" s="47">
        <f>IF(I294="","",I294-TODAY())</f>
        <v/>
      </c>
      <c r="K294" s="45">
        <f>IF(OR(E294="",G294=""),"",IF(G294=0,"",E294+G294))</f>
        <v/>
      </c>
      <c r="L294" s="45">
        <f>IF(OR(K294="",H294=""),"",K294-H294)</f>
        <v/>
      </c>
      <c r="M294" s="47">
        <f>IF(AND(J294="",L294=""),"",IF(OR(AND(J294&lt;&gt;"",J294&lt;0),AND(L294&lt;&gt;"",L294&lt;0)),"🔴 Überfällig",IF(OR(AND(J294&lt;&gt;"",J294&lt;=30),AND(L294&lt;&gt;"",L294&lt;=1000)),"🟡 Bald fällig","🟢 OK")))</f>
        <v/>
      </c>
      <c r="N294" s="35" t="n"/>
    </row>
    <row r="295">
      <c r="A295" s="29" t="n"/>
      <c r="B295" s="29" t="n"/>
      <c r="C295" s="29" t="n"/>
      <c r="D295" s="29" t="n"/>
      <c r="E295" s="29" t="n"/>
      <c r="F295" s="29" t="n"/>
      <c r="G295" s="29" t="n"/>
      <c r="H295" s="45">
        <f>IFERROR(VLOOKUP(A295,F_Tabelle,10,FALSE),"")</f>
        <v/>
      </c>
      <c r="I295" s="46">
        <f>IF(OR(D295="",F295=""),"",IF(F295=0,"",EDATE(D295,F295)))</f>
        <v/>
      </c>
      <c r="J295" s="47">
        <f>IF(I295="","",I295-TODAY())</f>
        <v/>
      </c>
      <c r="K295" s="45">
        <f>IF(OR(E295="",G295=""),"",IF(G295=0,"",E295+G295))</f>
        <v/>
      </c>
      <c r="L295" s="45">
        <f>IF(OR(K295="",H295=""),"",K295-H295)</f>
        <v/>
      </c>
      <c r="M295" s="47">
        <f>IF(AND(J295="",L295=""),"",IF(OR(AND(J295&lt;&gt;"",J295&lt;0),AND(L295&lt;&gt;"",L295&lt;0)),"🔴 Überfällig",IF(OR(AND(J295&lt;&gt;"",J295&lt;=30),AND(L295&lt;&gt;"",L295&lt;=1000)),"🟡 Bald fällig","🟢 OK")))</f>
        <v/>
      </c>
      <c r="N295" s="37" t="n"/>
    </row>
    <row r="296">
      <c r="A296" s="31" t="n"/>
      <c r="B296" s="31" t="n"/>
      <c r="C296" s="31" t="n"/>
      <c r="D296" s="31" t="n"/>
      <c r="E296" s="31" t="n"/>
      <c r="F296" s="31" t="n"/>
      <c r="G296" s="31" t="n"/>
      <c r="H296" s="45">
        <f>IFERROR(VLOOKUP(A296,F_Tabelle,10,FALSE),"")</f>
        <v/>
      </c>
      <c r="I296" s="46">
        <f>IF(OR(D296="",F296=""),"",IF(F296=0,"",EDATE(D296,F296)))</f>
        <v/>
      </c>
      <c r="J296" s="47">
        <f>IF(I296="","",I296-TODAY())</f>
        <v/>
      </c>
      <c r="K296" s="45">
        <f>IF(OR(E296="",G296=""),"",IF(G296=0,"",E296+G296))</f>
        <v/>
      </c>
      <c r="L296" s="45">
        <f>IF(OR(K296="",H296=""),"",K296-H296)</f>
        <v/>
      </c>
      <c r="M296" s="47">
        <f>IF(AND(J296="",L296=""),"",IF(OR(AND(J296&lt;&gt;"",J296&lt;0),AND(L296&lt;&gt;"",L296&lt;0)),"🔴 Überfällig",IF(OR(AND(J296&lt;&gt;"",J296&lt;=30),AND(L296&lt;&gt;"",L296&lt;=1000)),"🟡 Bald fällig","🟢 OK")))</f>
        <v/>
      </c>
      <c r="N296" s="35" t="n"/>
    </row>
    <row r="297">
      <c r="A297" s="29" t="n"/>
      <c r="B297" s="29" t="n"/>
      <c r="C297" s="29" t="n"/>
      <c r="D297" s="29" t="n"/>
      <c r="E297" s="29" t="n"/>
      <c r="F297" s="29" t="n"/>
      <c r="G297" s="29" t="n"/>
      <c r="H297" s="45">
        <f>IFERROR(VLOOKUP(A297,F_Tabelle,10,FALSE),"")</f>
        <v/>
      </c>
      <c r="I297" s="46">
        <f>IF(OR(D297="",F297=""),"",IF(F297=0,"",EDATE(D297,F297)))</f>
        <v/>
      </c>
      <c r="J297" s="47">
        <f>IF(I297="","",I297-TODAY())</f>
        <v/>
      </c>
      <c r="K297" s="45">
        <f>IF(OR(E297="",G297=""),"",IF(G297=0,"",E297+G297))</f>
        <v/>
      </c>
      <c r="L297" s="45">
        <f>IF(OR(K297="",H297=""),"",K297-H297)</f>
        <v/>
      </c>
      <c r="M297" s="47">
        <f>IF(AND(J297="",L297=""),"",IF(OR(AND(J297&lt;&gt;"",J297&lt;0),AND(L297&lt;&gt;"",L297&lt;0)),"🔴 Überfällig",IF(OR(AND(J297&lt;&gt;"",J297&lt;=30),AND(L297&lt;&gt;"",L297&lt;=1000)),"🟡 Bald fällig","🟢 OK")))</f>
        <v/>
      </c>
      <c r="N297" s="37" t="n"/>
    </row>
    <row r="298">
      <c r="A298" s="31" t="n"/>
      <c r="B298" s="31" t="n"/>
      <c r="C298" s="31" t="n"/>
      <c r="D298" s="31" t="n"/>
      <c r="E298" s="31" t="n"/>
      <c r="F298" s="31" t="n"/>
      <c r="G298" s="31" t="n"/>
      <c r="H298" s="45">
        <f>IFERROR(VLOOKUP(A298,F_Tabelle,10,FALSE),"")</f>
        <v/>
      </c>
      <c r="I298" s="46">
        <f>IF(OR(D298="",F298=""),"",IF(F298=0,"",EDATE(D298,F298)))</f>
        <v/>
      </c>
      <c r="J298" s="47">
        <f>IF(I298="","",I298-TODAY())</f>
        <v/>
      </c>
      <c r="K298" s="45">
        <f>IF(OR(E298="",G298=""),"",IF(G298=0,"",E298+G298))</f>
        <v/>
      </c>
      <c r="L298" s="45">
        <f>IF(OR(K298="",H298=""),"",K298-H298)</f>
        <v/>
      </c>
      <c r="M298" s="47">
        <f>IF(AND(J298="",L298=""),"",IF(OR(AND(J298&lt;&gt;"",J298&lt;0),AND(L298&lt;&gt;"",L298&lt;0)),"🔴 Überfällig",IF(OR(AND(J298&lt;&gt;"",J298&lt;=30),AND(L298&lt;&gt;"",L298&lt;=1000)),"🟡 Bald fällig","🟢 OK")))</f>
        <v/>
      </c>
      <c r="N298" s="35" t="n"/>
    </row>
    <row r="299">
      <c r="A299" s="29" t="n"/>
      <c r="B299" s="29" t="n"/>
      <c r="C299" s="29" t="n"/>
      <c r="D299" s="29" t="n"/>
      <c r="E299" s="29" t="n"/>
      <c r="F299" s="29" t="n"/>
      <c r="G299" s="29" t="n"/>
      <c r="H299" s="45">
        <f>IFERROR(VLOOKUP(A299,F_Tabelle,10,FALSE),"")</f>
        <v/>
      </c>
      <c r="I299" s="46">
        <f>IF(OR(D299="",F299=""),"",IF(F299=0,"",EDATE(D299,F299)))</f>
        <v/>
      </c>
      <c r="J299" s="47">
        <f>IF(I299="","",I299-TODAY())</f>
        <v/>
      </c>
      <c r="K299" s="45">
        <f>IF(OR(E299="",G299=""),"",IF(G299=0,"",E299+G299))</f>
        <v/>
      </c>
      <c r="L299" s="45">
        <f>IF(OR(K299="",H299=""),"",K299-H299)</f>
        <v/>
      </c>
      <c r="M299" s="47">
        <f>IF(AND(J299="",L299=""),"",IF(OR(AND(J299&lt;&gt;"",J299&lt;0),AND(L299&lt;&gt;"",L299&lt;0)),"🔴 Überfällig",IF(OR(AND(J299&lt;&gt;"",J299&lt;=30),AND(L299&lt;&gt;"",L299&lt;=1000)),"🟡 Bald fällig","🟢 OK")))</f>
        <v/>
      </c>
      <c r="N299" s="37" t="n"/>
    </row>
    <row r="300">
      <c r="A300" s="31" t="n"/>
      <c r="B300" s="31" t="n"/>
      <c r="C300" s="31" t="n"/>
      <c r="D300" s="31" t="n"/>
      <c r="E300" s="31" t="n"/>
      <c r="F300" s="31" t="n"/>
      <c r="G300" s="31" t="n"/>
      <c r="H300" s="45">
        <f>IFERROR(VLOOKUP(A300,F_Tabelle,10,FALSE),"")</f>
        <v/>
      </c>
      <c r="I300" s="46">
        <f>IF(OR(D300="",F300=""),"",IF(F300=0,"",EDATE(D300,F300)))</f>
        <v/>
      </c>
      <c r="J300" s="47">
        <f>IF(I300="","",I300-TODAY())</f>
        <v/>
      </c>
      <c r="K300" s="45">
        <f>IF(OR(E300="",G300=""),"",IF(G300=0,"",E300+G300))</f>
        <v/>
      </c>
      <c r="L300" s="45">
        <f>IF(OR(K300="",H300=""),"",K300-H300)</f>
        <v/>
      </c>
      <c r="M300" s="47">
        <f>IF(AND(J300="",L300=""),"",IF(OR(AND(J300&lt;&gt;"",J300&lt;0),AND(L300&lt;&gt;"",L300&lt;0)),"🔴 Überfällig",IF(OR(AND(J300&lt;&gt;"",J300&lt;=30),AND(L300&lt;&gt;"",L300&lt;=1000)),"🟡 Bald fällig","🟢 OK")))</f>
        <v/>
      </c>
      <c r="N300" s="35" t="n"/>
    </row>
  </sheetData>
  <autoFilter ref="A3:N300"/>
  <mergeCells count="2">
    <mergeCell ref="A2:N2"/>
    <mergeCell ref="A1:N1"/>
  </mergeCells>
  <conditionalFormatting sqref="M4:M300">
    <cfRule type="cellIs" priority="1" operator="containsText" dxfId="0">
      <formula>"🔴"</formula>
    </cfRule>
    <cfRule type="expression" priority="2" dxfId="0">
      <formula>ISNUMBER(SEARCH("🔴",M4))</formula>
    </cfRule>
    <cfRule type="expression" priority="3" dxfId="1">
      <formula>ISNUMBER(SEARCH("🟡",M4))</formula>
    </cfRule>
    <cfRule type="expression" priority="4" dxfId="2">
      <formula>ISNUMBER(SEARCH("🟢",M4))</formula>
    </cfRule>
  </conditionalFormatting>
  <conditionalFormatting sqref="J4:J300">
    <cfRule type="cellIs" priority="5" operator="lessThan" dxfId="3">
      <formula>0</formula>
    </cfRule>
    <cfRule type="cellIs" priority="6" operator="between" dxfId="4">
      <formula>0</formula>
      <formula>30</formula>
    </cfRule>
  </conditionalFormatting>
  <dataValidations count="3">
    <dataValidation sqref="A4:A300" showDropDown="0" showInputMessage="0" showErrorMessage="0" allowBlank="1" type="list">
      <formula1>=F_Kennz</formula1>
    </dataValidation>
    <dataValidation sqref="B4:B300" showDropDown="0" showInputMessage="0" showErrorMessage="0" allowBlank="1" type="list">
      <formula1>=L_Typ</formula1>
    </dataValidation>
    <dataValidation sqref="C4:C300" showDropDown="0" showInputMessage="0" showErrorMessage="0" allowBlank="1" type="list">
      <formula1>=L_Wartung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496"/>
    <outlinePr summaryBelow="1" summaryRight="1"/>
    <pageSetUpPr/>
  </sheetPr>
  <dimension ref="A1:K5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8" customWidth="1" min="4" max="4"/>
    <col width="15" customWidth="1" min="5" max="5"/>
    <col width="12" customWidth="1" min="6" max="6"/>
    <col width="18" customWidth="1" min="7" max="7"/>
    <col width="30" customWidth="1" min="8" max="8"/>
    <col width="12" customWidth="1" min="9" max="9"/>
    <col width="15" customWidth="1" min="10" max="10"/>
    <col width="14" customWidth="1" min="11" max="11"/>
  </cols>
  <sheetData>
    <row r="1" ht="36" customHeight="1">
      <c r="A1" s="33" t="inlineStr">
        <is>
          <t>WARTUNGSHISTORIE  /  PROTOKOLL</t>
        </is>
      </c>
    </row>
    <row r="2" ht="18" customHeight="1">
      <c r="A2" s="2" t="inlineStr">
        <is>
          <t>Jede durchgeführte Arbeit dokumentieren – Grundlage der Kostenauswertung.</t>
        </is>
      </c>
    </row>
    <row r="3" ht="26" customHeight="1">
      <c r="A3" s="34" t="inlineStr">
        <is>
          <t>Datum</t>
        </is>
      </c>
      <c r="B3" s="34" t="inlineStr">
        <is>
          <t>Kennzeichen</t>
        </is>
      </c>
      <c r="C3" s="34" t="inlineStr">
        <is>
          <t>Fahrzeugtyp</t>
        </is>
      </c>
      <c r="D3" s="34" t="inlineStr">
        <is>
          <t>Wartungsart</t>
        </is>
      </c>
      <c r="E3" s="34" t="inlineStr">
        <is>
          <t>Kostenkategorie</t>
        </is>
      </c>
      <c r="F3" s="34" t="inlineStr">
        <is>
          <t>km-Stand</t>
        </is>
      </c>
      <c r="G3" s="34" t="inlineStr">
        <is>
          <t>Werkstatt</t>
        </is>
      </c>
      <c r="H3" s="34" t="inlineStr">
        <is>
          <t>Beschreibung</t>
        </is>
      </c>
      <c r="I3" s="34" t="inlineStr">
        <is>
          <t>Kosten (€)</t>
        </is>
      </c>
      <c r="J3" s="34" t="inlineStr">
        <is>
          <t>Rechnungs-Nr.</t>
        </is>
      </c>
      <c r="K3" s="34" t="inlineStr">
        <is>
          <t>erledigt von</t>
        </is>
      </c>
    </row>
    <row r="4">
      <c r="A4" s="32" t="n">
        <v>45920</v>
      </c>
      <c r="B4" s="31" t="inlineStr">
        <is>
          <t>B-AH 1001</t>
        </is>
      </c>
      <c r="C4" s="31" t="inlineStr">
        <is>
          <t>PKW</t>
        </is>
      </c>
      <c r="D4" s="31" t="inlineStr">
        <is>
          <t>Inspektion</t>
        </is>
      </c>
      <c r="E4" s="31" t="inlineStr">
        <is>
          <t>Wartung</t>
        </is>
      </c>
      <c r="F4" s="36" t="n">
        <v>52000</v>
      </c>
      <c r="G4" s="35" t="inlineStr">
        <is>
          <t>Werkstatt Müller</t>
        </is>
      </c>
      <c r="H4" s="35" t="inlineStr">
        <is>
          <t>Jahresinspektion inkl. Ölwechsel</t>
        </is>
      </c>
      <c r="I4" s="48" t="n">
        <v>389.9</v>
      </c>
      <c r="J4" s="35" t="inlineStr">
        <is>
          <t>RE-2025-0912</t>
        </is>
      </c>
      <c r="K4" s="31" t="inlineStr">
        <is>
          <t>Müller</t>
        </is>
      </c>
    </row>
    <row r="5">
      <c r="A5" s="30" t="n">
        <v>45971</v>
      </c>
      <c r="B5" s="29" t="inlineStr">
        <is>
          <t>B-AH 2050</t>
        </is>
      </c>
      <c r="C5" s="29" t="inlineStr">
        <is>
          <t>Transporter</t>
        </is>
      </c>
      <c r="D5" s="29" t="inlineStr">
        <is>
          <t>Inspektion</t>
        </is>
      </c>
      <c r="E5" s="29" t="inlineStr">
        <is>
          <t>Wartung</t>
        </is>
      </c>
      <c r="F5" s="38" t="n">
        <v>130000</v>
      </c>
      <c r="G5" s="37" t="inlineStr">
        <is>
          <t>MB-Service</t>
        </is>
      </c>
      <c r="H5" s="37" t="inlineStr">
        <is>
          <t>Großer Service B</t>
        </is>
      </c>
      <c r="I5" s="49" t="n">
        <v>712.5</v>
      </c>
      <c r="J5" s="37" t="inlineStr">
        <is>
          <t>RE-2025-1188</t>
        </is>
      </c>
      <c r="K5" s="29" t="inlineStr">
        <is>
          <t>MB</t>
        </is>
      </c>
    </row>
    <row r="6">
      <c r="A6" s="32" t="n">
        <v>45992</v>
      </c>
      <c r="B6" s="31" t="inlineStr">
        <is>
          <t>B-AH 1002</t>
        </is>
      </c>
      <c r="C6" s="31" t="inlineStr">
        <is>
          <t>PKW</t>
        </is>
      </c>
      <c r="D6" s="31" t="inlineStr">
        <is>
          <t>Ölwechsel</t>
        </is>
      </c>
      <c r="E6" s="31" t="inlineStr">
        <is>
          <t>Wartung</t>
        </is>
      </c>
      <c r="F6" s="36" t="n">
        <v>48000</v>
      </c>
      <c r="G6" s="35" t="inlineStr">
        <is>
          <t>Werkstatt Müller</t>
        </is>
      </c>
      <c r="H6" s="35" t="inlineStr">
        <is>
          <t>Ölwechsel + Filter</t>
        </is>
      </c>
      <c r="I6" s="48" t="n">
        <v>129</v>
      </c>
      <c r="J6" s="35" t="inlineStr">
        <is>
          <t>RE-2025-1290</t>
        </is>
      </c>
      <c r="K6" s="31" t="inlineStr">
        <is>
          <t>Müller</t>
        </is>
      </c>
    </row>
    <row r="7">
      <c r="A7" s="30" t="n">
        <v>46021</v>
      </c>
      <c r="B7" s="29" t="inlineStr">
        <is>
          <t>B-AH 7800</t>
        </is>
      </c>
      <c r="C7" s="29" t="inlineStr">
        <is>
          <t>LKW</t>
        </is>
      </c>
      <c r="D7" s="29" t="inlineStr">
        <is>
          <t>SP (Sicherheitsprüfung)</t>
        </is>
      </c>
      <c r="E7" s="29" t="inlineStr">
        <is>
          <t>TÜV/HU</t>
        </is>
      </c>
      <c r="F7" s="38" t="n">
        <v>500000</v>
      </c>
      <c r="G7" s="37" t="inlineStr">
        <is>
          <t>DEKRA</t>
        </is>
      </c>
      <c r="H7" s="37" t="inlineStr">
        <is>
          <t>Sicherheitsprüfung bestanden</t>
        </is>
      </c>
      <c r="I7" s="49" t="n">
        <v>185</v>
      </c>
      <c r="J7" s="37" t="inlineStr">
        <is>
          <t>DK-558821</t>
        </is>
      </c>
      <c r="K7" s="29" t="inlineStr">
        <is>
          <t>DEKRA</t>
        </is>
      </c>
    </row>
    <row r="8">
      <c r="A8" s="32" t="n">
        <v>46037</v>
      </c>
      <c r="B8" s="31" t="inlineStr">
        <is>
          <t>B-AH 7800</t>
        </is>
      </c>
      <c r="C8" s="31" t="inlineStr">
        <is>
          <t>LKW</t>
        </is>
      </c>
      <c r="D8" s="31" t="inlineStr">
        <is>
          <t>Inspektion</t>
        </is>
      </c>
      <c r="E8" s="31" t="inlineStr">
        <is>
          <t>Wartung</t>
        </is>
      </c>
      <c r="F8" s="36" t="n">
        <v>505000</v>
      </c>
      <c r="G8" s="35" t="inlineStr">
        <is>
          <t>MAN-Service</t>
        </is>
      </c>
      <c r="H8" s="35" t="inlineStr">
        <is>
          <t>Service inkl. Bremsen vorne</t>
        </is>
      </c>
      <c r="I8" s="48" t="n">
        <v>1450.8</v>
      </c>
      <c r="J8" s="35" t="inlineStr">
        <is>
          <t>RE-2026-0042</t>
        </is>
      </c>
      <c r="K8" s="31" t="inlineStr">
        <is>
          <t>MAN</t>
        </is>
      </c>
    </row>
    <row r="9">
      <c r="A9" s="30" t="n">
        <v>46056</v>
      </c>
      <c r="B9" s="29" t="inlineStr">
        <is>
          <t>B-AH 2051</t>
        </is>
      </c>
      <c r="C9" s="29" t="inlineStr">
        <is>
          <t>Transporter</t>
        </is>
      </c>
      <c r="D9" s="29" t="inlineStr">
        <is>
          <t>Reifenwechsel</t>
        </is>
      </c>
      <c r="E9" s="29" t="inlineStr">
        <is>
          <t>Reifen</t>
        </is>
      </c>
      <c r="F9" s="38" t="n">
        <v>37000</v>
      </c>
      <c r="G9" s="37" t="inlineStr">
        <is>
          <t>Reifen Schmidt</t>
        </is>
      </c>
      <c r="H9" s="37" t="inlineStr">
        <is>
          <t>4x Winterreifen demontiert</t>
        </is>
      </c>
      <c r="I9" s="49" t="n">
        <v>95</v>
      </c>
      <c r="J9" s="37" t="inlineStr">
        <is>
          <t>RE-2026-0061</t>
        </is>
      </c>
      <c r="K9" s="29" t="inlineStr">
        <is>
          <t>Schmidt</t>
        </is>
      </c>
    </row>
    <row r="10">
      <c r="A10" s="32" t="n">
        <v>46093</v>
      </c>
      <c r="B10" s="31" t="inlineStr">
        <is>
          <t>B-AH 7801</t>
        </is>
      </c>
      <c r="C10" s="31" t="inlineStr">
        <is>
          <t>LKW</t>
        </is>
      </c>
      <c r="D10" s="31" t="inlineStr">
        <is>
          <t>Reparatur</t>
        </is>
      </c>
      <c r="E10" s="31" t="inlineStr">
        <is>
          <t>Reparatur</t>
        </is>
      </c>
      <c r="F10" s="36" t="n">
        <v>302000</v>
      </c>
      <c r="G10" s="35" t="inlineStr">
        <is>
          <t>Volvo-Service</t>
        </is>
      </c>
      <c r="H10" s="35" t="inlineStr">
        <is>
          <t>Turbolader getauscht</t>
        </is>
      </c>
      <c r="I10" s="48" t="n">
        <v>3280</v>
      </c>
      <c r="J10" s="35" t="inlineStr">
        <is>
          <t>RE-2026-0233</t>
        </is>
      </c>
      <c r="K10" s="31" t="inlineStr">
        <is>
          <t>Volvo</t>
        </is>
      </c>
    </row>
    <row r="11">
      <c r="A11" s="30" t="n"/>
      <c r="B11" s="29" t="n"/>
      <c r="C11" s="29" t="n"/>
      <c r="D11" s="29" t="n"/>
      <c r="E11" s="29" t="n"/>
      <c r="F11" s="38" t="n"/>
      <c r="G11" s="37" t="n"/>
      <c r="H11" s="37" t="n"/>
      <c r="I11" s="49" t="n"/>
      <c r="J11" s="37" t="n"/>
      <c r="K11" s="29" t="n"/>
    </row>
    <row r="12">
      <c r="A12" s="32" t="n"/>
      <c r="B12" s="31" t="n"/>
      <c r="C12" s="31" t="n"/>
      <c r="D12" s="31" t="n"/>
      <c r="E12" s="31" t="n"/>
      <c r="F12" s="36" t="n"/>
      <c r="G12" s="35" t="n"/>
      <c r="H12" s="35" t="n"/>
      <c r="I12" s="48" t="n"/>
      <c r="J12" s="35" t="n"/>
      <c r="K12" s="31" t="n"/>
    </row>
    <row r="13">
      <c r="A13" s="30" t="n"/>
      <c r="B13" s="29" t="n"/>
      <c r="C13" s="29" t="n"/>
      <c r="D13" s="29" t="n"/>
      <c r="E13" s="29" t="n"/>
      <c r="F13" s="38" t="n"/>
      <c r="G13" s="37" t="n"/>
      <c r="H13" s="37" t="n"/>
      <c r="I13" s="49" t="n"/>
      <c r="J13" s="37" t="n"/>
      <c r="K13" s="29" t="n"/>
    </row>
    <row r="14">
      <c r="A14" s="32" t="n"/>
      <c r="B14" s="31" t="n"/>
      <c r="C14" s="31" t="n"/>
      <c r="D14" s="31" t="n"/>
      <c r="E14" s="31" t="n"/>
      <c r="F14" s="36" t="n"/>
      <c r="G14" s="35" t="n"/>
      <c r="H14" s="35" t="n"/>
      <c r="I14" s="48" t="n"/>
      <c r="J14" s="35" t="n"/>
      <c r="K14" s="31" t="n"/>
    </row>
    <row r="15">
      <c r="A15" s="30" t="n"/>
      <c r="B15" s="29" t="n"/>
      <c r="C15" s="29" t="n"/>
      <c r="D15" s="29" t="n"/>
      <c r="E15" s="29" t="n"/>
      <c r="F15" s="38" t="n"/>
      <c r="G15" s="37" t="n"/>
      <c r="H15" s="37" t="n"/>
      <c r="I15" s="49" t="n"/>
      <c r="J15" s="37" t="n"/>
      <c r="K15" s="29" t="n"/>
    </row>
    <row r="16">
      <c r="A16" s="32" t="n"/>
      <c r="B16" s="31" t="n"/>
      <c r="C16" s="31" t="n"/>
      <c r="D16" s="31" t="n"/>
      <c r="E16" s="31" t="n"/>
      <c r="F16" s="36" t="n"/>
      <c r="G16" s="35" t="n"/>
      <c r="H16" s="35" t="n"/>
      <c r="I16" s="48" t="n"/>
      <c r="J16" s="35" t="n"/>
      <c r="K16" s="31" t="n"/>
    </row>
    <row r="17">
      <c r="A17" s="30" t="n"/>
      <c r="B17" s="29" t="n"/>
      <c r="C17" s="29" t="n"/>
      <c r="D17" s="29" t="n"/>
      <c r="E17" s="29" t="n"/>
      <c r="F17" s="38" t="n"/>
      <c r="G17" s="37" t="n"/>
      <c r="H17" s="37" t="n"/>
      <c r="I17" s="49" t="n"/>
      <c r="J17" s="37" t="n"/>
      <c r="K17" s="29" t="n"/>
    </row>
    <row r="18">
      <c r="A18" s="32" t="n"/>
      <c r="B18" s="31" t="n"/>
      <c r="C18" s="31" t="n"/>
      <c r="D18" s="31" t="n"/>
      <c r="E18" s="31" t="n"/>
      <c r="F18" s="36" t="n"/>
      <c r="G18" s="35" t="n"/>
      <c r="H18" s="35" t="n"/>
      <c r="I18" s="48" t="n"/>
      <c r="J18" s="35" t="n"/>
      <c r="K18" s="31" t="n"/>
    </row>
    <row r="19">
      <c r="A19" s="30" t="n"/>
      <c r="B19" s="29" t="n"/>
      <c r="C19" s="29" t="n"/>
      <c r="D19" s="29" t="n"/>
      <c r="E19" s="29" t="n"/>
      <c r="F19" s="38" t="n"/>
      <c r="G19" s="37" t="n"/>
      <c r="H19" s="37" t="n"/>
      <c r="I19" s="49" t="n"/>
      <c r="J19" s="37" t="n"/>
      <c r="K19" s="29" t="n"/>
    </row>
    <row r="20">
      <c r="A20" s="32" t="n"/>
      <c r="B20" s="31" t="n"/>
      <c r="C20" s="31" t="n"/>
      <c r="D20" s="31" t="n"/>
      <c r="E20" s="31" t="n"/>
      <c r="F20" s="36" t="n"/>
      <c r="G20" s="35" t="n"/>
      <c r="H20" s="35" t="n"/>
      <c r="I20" s="48" t="n"/>
      <c r="J20" s="35" t="n"/>
      <c r="K20" s="31" t="n"/>
    </row>
    <row r="21">
      <c r="A21" s="30" t="n"/>
      <c r="B21" s="29" t="n"/>
      <c r="C21" s="29" t="n"/>
      <c r="D21" s="29" t="n"/>
      <c r="E21" s="29" t="n"/>
      <c r="F21" s="38" t="n"/>
      <c r="G21" s="37" t="n"/>
      <c r="H21" s="37" t="n"/>
      <c r="I21" s="49" t="n"/>
      <c r="J21" s="37" t="n"/>
      <c r="K21" s="29" t="n"/>
    </row>
    <row r="22">
      <c r="A22" s="32" t="n"/>
      <c r="B22" s="31" t="n"/>
      <c r="C22" s="31" t="n"/>
      <c r="D22" s="31" t="n"/>
      <c r="E22" s="31" t="n"/>
      <c r="F22" s="36" t="n"/>
      <c r="G22" s="35" t="n"/>
      <c r="H22" s="35" t="n"/>
      <c r="I22" s="48" t="n"/>
      <c r="J22" s="35" t="n"/>
      <c r="K22" s="31" t="n"/>
    </row>
    <row r="23">
      <c r="A23" s="30" t="n"/>
      <c r="B23" s="29" t="n"/>
      <c r="C23" s="29" t="n"/>
      <c r="D23" s="29" t="n"/>
      <c r="E23" s="29" t="n"/>
      <c r="F23" s="38" t="n"/>
      <c r="G23" s="37" t="n"/>
      <c r="H23" s="37" t="n"/>
      <c r="I23" s="49" t="n"/>
      <c r="J23" s="37" t="n"/>
      <c r="K23" s="29" t="n"/>
    </row>
    <row r="24">
      <c r="A24" s="32" t="n"/>
      <c r="B24" s="31" t="n"/>
      <c r="C24" s="31" t="n"/>
      <c r="D24" s="31" t="n"/>
      <c r="E24" s="31" t="n"/>
      <c r="F24" s="36" t="n"/>
      <c r="G24" s="35" t="n"/>
      <c r="H24" s="35" t="n"/>
      <c r="I24" s="48" t="n"/>
      <c r="J24" s="35" t="n"/>
      <c r="K24" s="31" t="n"/>
    </row>
    <row r="25">
      <c r="A25" s="30" t="n"/>
      <c r="B25" s="29" t="n"/>
      <c r="C25" s="29" t="n"/>
      <c r="D25" s="29" t="n"/>
      <c r="E25" s="29" t="n"/>
      <c r="F25" s="38" t="n"/>
      <c r="G25" s="37" t="n"/>
      <c r="H25" s="37" t="n"/>
      <c r="I25" s="49" t="n"/>
      <c r="J25" s="37" t="n"/>
      <c r="K25" s="29" t="n"/>
    </row>
    <row r="26">
      <c r="A26" s="32" t="n"/>
      <c r="B26" s="31" t="n"/>
      <c r="C26" s="31" t="n"/>
      <c r="D26" s="31" t="n"/>
      <c r="E26" s="31" t="n"/>
      <c r="F26" s="36" t="n"/>
      <c r="G26" s="35" t="n"/>
      <c r="H26" s="35" t="n"/>
      <c r="I26" s="48" t="n"/>
      <c r="J26" s="35" t="n"/>
      <c r="K26" s="31" t="n"/>
    </row>
    <row r="27">
      <c r="A27" s="30" t="n"/>
      <c r="B27" s="29" t="n"/>
      <c r="C27" s="29" t="n"/>
      <c r="D27" s="29" t="n"/>
      <c r="E27" s="29" t="n"/>
      <c r="F27" s="38" t="n"/>
      <c r="G27" s="37" t="n"/>
      <c r="H27" s="37" t="n"/>
      <c r="I27" s="49" t="n"/>
      <c r="J27" s="37" t="n"/>
      <c r="K27" s="29" t="n"/>
    </row>
    <row r="28">
      <c r="A28" s="32" t="n"/>
      <c r="B28" s="31" t="n"/>
      <c r="C28" s="31" t="n"/>
      <c r="D28" s="31" t="n"/>
      <c r="E28" s="31" t="n"/>
      <c r="F28" s="36" t="n"/>
      <c r="G28" s="35" t="n"/>
      <c r="H28" s="35" t="n"/>
      <c r="I28" s="48" t="n"/>
      <c r="J28" s="35" t="n"/>
      <c r="K28" s="31" t="n"/>
    </row>
    <row r="29">
      <c r="A29" s="30" t="n"/>
      <c r="B29" s="29" t="n"/>
      <c r="C29" s="29" t="n"/>
      <c r="D29" s="29" t="n"/>
      <c r="E29" s="29" t="n"/>
      <c r="F29" s="38" t="n"/>
      <c r="G29" s="37" t="n"/>
      <c r="H29" s="37" t="n"/>
      <c r="I29" s="49" t="n"/>
      <c r="J29" s="37" t="n"/>
      <c r="K29" s="29" t="n"/>
    </row>
    <row r="30">
      <c r="A30" s="32" t="n"/>
      <c r="B30" s="31" t="n"/>
      <c r="C30" s="31" t="n"/>
      <c r="D30" s="31" t="n"/>
      <c r="E30" s="31" t="n"/>
      <c r="F30" s="36" t="n"/>
      <c r="G30" s="35" t="n"/>
      <c r="H30" s="35" t="n"/>
      <c r="I30" s="48" t="n"/>
      <c r="J30" s="35" t="n"/>
      <c r="K30" s="31" t="n"/>
    </row>
    <row r="31">
      <c r="A31" s="30" t="n"/>
      <c r="B31" s="29" t="n"/>
      <c r="C31" s="29" t="n"/>
      <c r="D31" s="29" t="n"/>
      <c r="E31" s="29" t="n"/>
      <c r="F31" s="38" t="n"/>
      <c r="G31" s="37" t="n"/>
      <c r="H31" s="37" t="n"/>
      <c r="I31" s="49" t="n"/>
      <c r="J31" s="37" t="n"/>
      <c r="K31" s="29" t="n"/>
    </row>
    <row r="32">
      <c r="A32" s="32" t="n"/>
      <c r="B32" s="31" t="n"/>
      <c r="C32" s="31" t="n"/>
      <c r="D32" s="31" t="n"/>
      <c r="E32" s="31" t="n"/>
      <c r="F32" s="36" t="n"/>
      <c r="G32" s="35" t="n"/>
      <c r="H32" s="35" t="n"/>
      <c r="I32" s="48" t="n"/>
      <c r="J32" s="35" t="n"/>
      <c r="K32" s="31" t="n"/>
    </row>
    <row r="33">
      <c r="A33" s="30" t="n"/>
      <c r="B33" s="29" t="n"/>
      <c r="C33" s="29" t="n"/>
      <c r="D33" s="29" t="n"/>
      <c r="E33" s="29" t="n"/>
      <c r="F33" s="38" t="n"/>
      <c r="G33" s="37" t="n"/>
      <c r="H33" s="37" t="n"/>
      <c r="I33" s="49" t="n"/>
      <c r="J33" s="37" t="n"/>
      <c r="K33" s="29" t="n"/>
    </row>
    <row r="34">
      <c r="A34" s="32" t="n"/>
      <c r="B34" s="31" t="n"/>
      <c r="C34" s="31" t="n"/>
      <c r="D34" s="31" t="n"/>
      <c r="E34" s="31" t="n"/>
      <c r="F34" s="36" t="n"/>
      <c r="G34" s="35" t="n"/>
      <c r="H34" s="35" t="n"/>
      <c r="I34" s="48" t="n"/>
      <c r="J34" s="35" t="n"/>
      <c r="K34" s="31" t="n"/>
    </row>
    <row r="35">
      <c r="A35" s="30" t="n"/>
      <c r="B35" s="29" t="n"/>
      <c r="C35" s="29" t="n"/>
      <c r="D35" s="29" t="n"/>
      <c r="E35" s="29" t="n"/>
      <c r="F35" s="38" t="n"/>
      <c r="G35" s="37" t="n"/>
      <c r="H35" s="37" t="n"/>
      <c r="I35" s="49" t="n"/>
      <c r="J35" s="37" t="n"/>
      <c r="K35" s="29" t="n"/>
    </row>
    <row r="36">
      <c r="A36" s="32" t="n"/>
      <c r="B36" s="31" t="n"/>
      <c r="C36" s="31" t="n"/>
      <c r="D36" s="31" t="n"/>
      <c r="E36" s="31" t="n"/>
      <c r="F36" s="36" t="n"/>
      <c r="G36" s="35" t="n"/>
      <c r="H36" s="35" t="n"/>
      <c r="I36" s="48" t="n"/>
      <c r="J36" s="35" t="n"/>
      <c r="K36" s="31" t="n"/>
    </row>
    <row r="37">
      <c r="A37" s="30" t="n"/>
      <c r="B37" s="29" t="n"/>
      <c r="C37" s="29" t="n"/>
      <c r="D37" s="29" t="n"/>
      <c r="E37" s="29" t="n"/>
      <c r="F37" s="38" t="n"/>
      <c r="G37" s="37" t="n"/>
      <c r="H37" s="37" t="n"/>
      <c r="I37" s="49" t="n"/>
      <c r="J37" s="37" t="n"/>
      <c r="K37" s="29" t="n"/>
    </row>
    <row r="38">
      <c r="A38" s="32" t="n"/>
      <c r="B38" s="31" t="n"/>
      <c r="C38" s="31" t="n"/>
      <c r="D38" s="31" t="n"/>
      <c r="E38" s="31" t="n"/>
      <c r="F38" s="36" t="n"/>
      <c r="G38" s="35" t="n"/>
      <c r="H38" s="35" t="n"/>
      <c r="I38" s="48" t="n"/>
      <c r="J38" s="35" t="n"/>
      <c r="K38" s="31" t="n"/>
    </row>
    <row r="39">
      <c r="A39" s="30" t="n"/>
      <c r="B39" s="29" t="n"/>
      <c r="C39" s="29" t="n"/>
      <c r="D39" s="29" t="n"/>
      <c r="E39" s="29" t="n"/>
      <c r="F39" s="38" t="n"/>
      <c r="G39" s="37" t="n"/>
      <c r="H39" s="37" t="n"/>
      <c r="I39" s="49" t="n"/>
      <c r="J39" s="37" t="n"/>
      <c r="K39" s="29" t="n"/>
    </row>
    <row r="40">
      <c r="A40" s="32" t="n"/>
      <c r="B40" s="31" t="n"/>
      <c r="C40" s="31" t="n"/>
      <c r="D40" s="31" t="n"/>
      <c r="E40" s="31" t="n"/>
      <c r="F40" s="36" t="n"/>
      <c r="G40" s="35" t="n"/>
      <c r="H40" s="35" t="n"/>
      <c r="I40" s="48" t="n"/>
      <c r="J40" s="35" t="n"/>
      <c r="K40" s="31" t="n"/>
    </row>
    <row r="41">
      <c r="A41" s="30" t="n"/>
      <c r="B41" s="29" t="n"/>
      <c r="C41" s="29" t="n"/>
      <c r="D41" s="29" t="n"/>
      <c r="E41" s="29" t="n"/>
      <c r="F41" s="38" t="n"/>
      <c r="G41" s="37" t="n"/>
      <c r="H41" s="37" t="n"/>
      <c r="I41" s="49" t="n"/>
      <c r="J41" s="37" t="n"/>
      <c r="K41" s="29" t="n"/>
    </row>
    <row r="42">
      <c r="A42" s="32" t="n"/>
      <c r="B42" s="31" t="n"/>
      <c r="C42" s="31" t="n"/>
      <c r="D42" s="31" t="n"/>
      <c r="E42" s="31" t="n"/>
      <c r="F42" s="36" t="n"/>
      <c r="G42" s="35" t="n"/>
      <c r="H42" s="35" t="n"/>
      <c r="I42" s="48" t="n"/>
      <c r="J42" s="35" t="n"/>
      <c r="K42" s="31" t="n"/>
    </row>
    <row r="43">
      <c r="A43" s="30" t="n"/>
      <c r="B43" s="29" t="n"/>
      <c r="C43" s="29" t="n"/>
      <c r="D43" s="29" t="n"/>
      <c r="E43" s="29" t="n"/>
      <c r="F43" s="38" t="n"/>
      <c r="G43" s="37" t="n"/>
      <c r="H43" s="37" t="n"/>
      <c r="I43" s="49" t="n"/>
      <c r="J43" s="37" t="n"/>
      <c r="K43" s="29" t="n"/>
    </row>
    <row r="44">
      <c r="A44" s="32" t="n"/>
      <c r="B44" s="31" t="n"/>
      <c r="C44" s="31" t="n"/>
      <c r="D44" s="31" t="n"/>
      <c r="E44" s="31" t="n"/>
      <c r="F44" s="36" t="n"/>
      <c r="G44" s="35" t="n"/>
      <c r="H44" s="35" t="n"/>
      <c r="I44" s="48" t="n"/>
      <c r="J44" s="35" t="n"/>
      <c r="K44" s="31" t="n"/>
    </row>
    <row r="45">
      <c r="A45" s="30" t="n"/>
      <c r="B45" s="29" t="n"/>
      <c r="C45" s="29" t="n"/>
      <c r="D45" s="29" t="n"/>
      <c r="E45" s="29" t="n"/>
      <c r="F45" s="38" t="n"/>
      <c r="G45" s="37" t="n"/>
      <c r="H45" s="37" t="n"/>
      <c r="I45" s="49" t="n"/>
      <c r="J45" s="37" t="n"/>
      <c r="K45" s="29" t="n"/>
    </row>
    <row r="46">
      <c r="A46" s="32" t="n"/>
      <c r="B46" s="31" t="n"/>
      <c r="C46" s="31" t="n"/>
      <c r="D46" s="31" t="n"/>
      <c r="E46" s="31" t="n"/>
      <c r="F46" s="36" t="n"/>
      <c r="G46" s="35" t="n"/>
      <c r="H46" s="35" t="n"/>
      <c r="I46" s="48" t="n"/>
      <c r="J46" s="35" t="n"/>
      <c r="K46" s="31" t="n"/>
    </row>
    <row r="47">
      <c r="A47" s="30" t="n"/>
      <c r="B47" s="29" t="n"/>
      <c r="C47" s="29" t="n"/>
      <c r="D47" s="29" t="n"/>
      <c r="E47" s="29" t="n"/>
      <c r="F47" s="38" t="n"/>
      <c r="G47" s="37" t="n"/>
      <c r="H47" s="37" t="n"/>
      <c r="I47" s="49" t="n"/>
      <c r="J47" s="37" t="n"/>
      <c r="K47" s="29" t="n"/>
    </row>
    <row r="48">
      <c r="A48" s="32" t="n"/>
      <c r="B48" s="31" t="n"/>
      <c r="C48" s="31" t="n"/>
      <c r="D48" s="31" t="n"/>
      <c r="E48" s="31" t="n"/>
      <c r="F48" s="36" t="n"/>
      <c r="G48" s="35" t="n"/>
      <c r="H48" s="35" t="n"/>
      <c r="I48" s="48" t="n"/>
      <c r="J48" s="35" t="n"/>
      <c r="K48" s="31" t="n"/>
    </row>
    <row r="49">
      <c r="A49" s="30" t="n"/>
      <c r="B49" s="29" t="n"/>
      <c r="C49" s="29" t="n"/>
      <c r="D49" s="29" t="n"/>
      <c r="E49" s="29" t="n"/>
      <c r="F49" s="38" t="n"/>
      <c r="G49" s="37" t="n"/>
      <c r="H49" s="37" t="n"/>
      <c r="I49" s="49" t="n"/>
      <c r="J49" s="37" t="n"/>
      <c r="K49" s="29" t="n"/>
    </row>
    <row r="50">
      <c r="A50" s="32" t="n"/>
      <c r="B50" s="31" t="n"/>
      <c r="C50" s="31" t="n"/>
      <c r="D50" s="31" t="n"/>
      <c r="E50" s="31" t="n"/>
      <c r="F50" s="36" t="n"/>
      <c r="G50" s="35" t="n"/>
      <c r="H50" s="35" t="n"/>
      <c r="I50" s="48" t="n"/>
      <c r="J50" s="35" t="n"/>
      <c r="K50" s="31" t="n"/>
    </row>
    <row r="51">
      <c r="A51" s="30" t="n"/>
      <c r="B51" s="29" t="n"/>
      <c r="C51" s="29" t="n"/>
      <c r="D51" s="29" t="n"/>
      <c r="E51" s="29" t="n"/>
      <c r="F51" s="38" t="n"/>
      <c r="G51" s="37" t="n"/>
      <c r="H51" s="37" t="n"/>
      <c r="I51" s="49" t="n"/>
      <c r="J51" s="37" t="n"/>
      <c r="K51" s="29" t="n"/>
    </row>
    <row r="52">
      <c r="A52" s="32" t="n"/>
      <c r="B52" s="31" t="n"/>
      <c r="C52" s="31" t="n"/>
      <c r="D52" s="31" t="n"/>
      <c r="E52" s="31" t="n"/>
      <c r="F52" s="36" t="n"/>
      <c r="G52" s="35" t="n"/>
      <c r="H52" s="35" t="n"/>
      <c r="I52" s="48" t="n"/>
      <c r="J52" s="35" t="n"/>
      <c r="K52" s="31" t="n"/>
    </row>
    <row r="53">
      <c r="A53" s="30" t="n"/>
      <c r="B53" s="29" t="n"/>
      <c r="C53" s="29" t="n"/>
      <c r="D53" s="29" t="n"/>
      <c r="E53" s="29" t="n"/>
      <c r="F53" s="38" t="n"/>
      <c r="G53" s="37" t="n"/>
      <c r="H53" s="37" t="n"/>
      <c r="I53" s="49" t="n"/>
      <c r="J53" s="37" t="n"/>
      <c r="K53" s="29" t="n"/>
    </row>
    <row r="54">
      <c r="A54" s="32" t="n"/>
      <c r="B54" s="31" t="n"/>
      <c r="C54" s="31" t="n"/>
      <c r="D54" s="31" t="n"/>
      <c r="E54" s="31" t="n"/>
      <c r="F54" s="36" t="n"/>
      <c r="G54" s="35" t="n"/>
      <c r="H54" s="35" t="n"/>
      <c r="I54" s="48" t="n"/>
      <c r="J54" s="35" t="n"/>
      <c r="K54" s="31" t="n"/>
    </row>
    <row r="55">
      <c r="A55" s="30" t="n"/>
      <c r="B55" s="29" t="n"/>
      <c r="C55" s="29" t="n"/>
      <c r="D55" s="29" t="n"/>
      <c r="E55" s="29" t="n"/>
      <c r="F55" s="38" t="n"/>
      <c r="G55" s="37" t="n"/>
      <c r="H55" s="37" t="n"/>
      <c r="I55" s="49" t="n"/>
      <c r="J55" s="37" t="n"/>
      <c r="K55" s="29" t="n"/>
    </row>
    <row r="56">
      <c r="A56" s="32" t="n"/>
      <c r="B56" s="31" t="n"/>
      <c r="C56" s="31" t="n"/>
      <c r="D56" s="31" t="n"/>
      <c r="E56" s="31" t="n"/>
      <c r="F56" s="36" t="n"/>
      <c r="G56" s="35" t="n"/>
      <c r="H56" s="35" t="n"/>
      <c r="I56" s="48" t="n"/>
      <c r="J56" s="35" t="n"/>
      <c r="K56" s="31" t="n"/>
    </row>
    <row r="57">
      <c r="A57" s="30" t="n"/>
      <c r="B57" s="29" t="n"/>
      <c r="C57" s="29" t="n"/>
      <c r="D57" s="29" t="n"/>
      <c r="E57" s="29" t="n"/>
      <c r="F57" s="38" t="n"/>
      <c r="G57" s="37" t="n"/>
      <c r="H57" s="37" t="n"/>
      <c r="I57" s="49" t="n"/>
      <c r="J57" s="37" t="n"/>
      <c r="K57" s="29" t="n"/>
    </row>
    <row r="58">
      <c r="A58" s="32" t="n"/>
      <c r="B58" s="31" t="n"/>
      <c r="C58" s="31" t="n"/>
      <c r="D58" s="31" t="n"/>
      <c r="E58" s="31" t="n"/>
      <c r="F58" s="36" t="n"/>
      <c r="G58" s="35" t="n"/>
      <c r="H58" s="35" t="n"/>
      <c r="I58" s="48" t="n"/>
      <c r="J58" s="35" t="n"/>
      <c r="K58" s="31" t="n"/>
    </row>
    <row r="59">
      <c r="A59" s="30" t="n"/>
      <c r="B59" s="29" t="n"/>
      <c r="C59" s="29" t="n"/>
      <c r="D59" s="29" t="n"/>
      <c r="E59" s="29" t="n"/>
      <c r="F59" s="38" t="n"/>
      <c r="G59" s="37" t="n"/>
      <c r="H59" s="37" t="n"/>
      <c r="I59" s="49" t="n"/>
      <c r="J59" s="37" t="n"/>
      <c r="K59" s="29" t="n"/>
    </row>
    <row r="60">
      <c r="A60" s="32" t="n"/>
      <c r="B60" s="31" t="n"/>
      <c r="C60" s="31" t="n"/>
      <c r="D60" s="31" t="n"/>
      <c r="E60" s="31" t="n"/>
      <c r="F60" s="36" t="n"/>
      <c r="G60" s="35" t="n"/>
      <c r="H60" s="35" t="n"/>
      <c r="I60" s="48" t="n"/>
      <c r="J60" s="35" t="n"/>
      <c r="K60" s="31" t="n"/>
    </row>
    <row r="61">
      <c r="A61" s="30" t="n"/>
      <c r="B61" s="29" t="n"/>
      <c r="C61" s="29" t="n"/>
      <c r="D61" s="29" t="n"/>
      <c r="E61" s="29" t="n"/>
      <c r="F61" s="38" t="n"/>
      <c r="G61" s="37" t="n"/>
      <c r="H61" s="37" t="n"/>
      <c r="I61" s="49" t="n"/>
      <c r="J61" s="37" t="n"/>
      <c r="K61" s="29" t="n"/>
    </row>
    <row r="62">
      <c r="A62" s="32" t="n"/>
      <c r="B62" s="31" t="n"/>
      <c r="C62" s="31" t="n"/>
      <c r="D62" s="31" t="n"/>
      <c r="E62" s="31" t="n"/>
      <c r="F62" s="36" t="n"/>
      <c r="G62" s="35" t="n"/>
      <c r="H62" s="35" t="n"/>
      <c r="I62" s="48" t="n"/>
      <c r="J62" s="35" t="n"/>
      <c r="K62" s="31" t="n"/>
    </row>
    <row r="63">
      <c r="A63" s="30" t="n"/>
      <c r="B63" s="29" t="n"/>
      <c r="C63" s="29" t="n"/>
      <c r="D63" s="29" t="n"/>
      <c r="E63" s="29" t="n"/>
      <c r="F63" s="38" t="n"/>
      <c r="G63" s="37" t="n"/>
      <c r="H63" s="37" t="n"/>
      <c r="I63" s="49" t="n"/>
      <c r="J63" s="37" t="n"/>
      <c r="K63" s="29" t="n"/>
    </row>
    <row r="64">
      <c r="A64" s="32" t="n"/>
      <c r="B64" s="31" t="n"/>
      <c r="C64" s="31" t="n"/>
      <c r="D64" s="31" t="n"/>
      <c r="E64" s="31" t="n"/>
      <c r="F64" s="36" t="n"/>
      <c r="G64" s="35" t="n"/>
      <c r="H64" s="35" t="n"/>
      <c r="I64" s="48" t="n"/>
      <c r="J64" s="35" t="n"/>
      <c r="K64" s="31" t="n"/>
    </row>
    <row r="65">
      <c r="A65" s="30" t="n"/>
      <c r="B65" s="29" t="n"/>
      <c r="C65" s="29" t="n"/>
      <c r="D65" s="29" t="n"/>
      <c r="E65" s="29" t="n"/>
      <c r="F65" s="38" t="n"/>
      <c r="G65" s="37" t="n"/>
      <c r="H65" s="37" t="n"/>
      <c r="I65" s="49" t="n"/>
      <c r="J65" s="37" t="n"/>
      <c r="K65" s="29" t="n"/>
    </row>
    <row r="66">
      <c r="A66" s="32" t="n"/>
      <c r="B66" s="31" t="n"/>
      <c r="C66" s="31" t="n"/>
      <c r="D66" s="31" t="n"/>
      <c r="E66" s="31" t="n"/>
      <c r="F66" s="36" t="n"/>
      <c r="G66" s="35" t="n"/>
      <c r="H66" s="35" t="n"/>
      <c r="I66" s="48" t="n"/>
      <c r="J66" s="35" t="n"/>
      <c r="K66" s="31" t="n"/>
    </row>
    <row r="67">
      <c r="A67" s="30" t="n"/>
      <c r="B67" s="29" t="n"/>
      <c r="C67" s="29" t="n"/>
      <c r="D67" s="29" t="n"/>
      <c r="E67" s="29" t="n"/>
      <c r="F67" s="38" t="n"/>
      <c r="G67" s="37" t="n"/>
      <c r="H67" s="37" t="n"/>
      <c r="I67" s="49" t="n"/>
      <c r="J67" s="37" t="n"/>
      <c r="K67" s="29" t="n"/>
    </row>
    <row r="68">
      <c r="A68" s="32" t="n"/>
      <c r="B68" s="31" t="n"/>
      <c r="C68" s="31" t="n"/>
      <c r="D68" s="31" t="n"/>
      <c r="E68" s="31" t="n"/>
      <c r="F68" s="36" t="n"/>
      <c r="G68" s="35" t="n"/>
      <c r="H68" s="35" t="n"/>
      <c r="I68" s="48" t="n"/>
      <c r="J68" s="35" t="n"/>
      <c r="K68" s="31" t="n"/>
    </row>
    <row r="69">
      <c r="A69" s="30" t="n"/>
      <c r="B69" s="29" t="n"/>
      <c r="C69" s="29" t="n"/>
      <c r="D69" s="29" t="n"/>
      <c r="E69" s="29" t="n"/>
      <c r="F69" s="38" t="n"/>
      <c r="G69" s="37" t="n"/>
      <c r="H69" s="37" t="n"/>
      <c r="I69" s="49" t="n"/>
      <c r="J69" s="37" t="n"/>
      <c r="K69" s="29" t="n"/>
    </row>
    <row r="70">
      <c r="A70" s="32" t="n"/>
      <c r="B70" s="31" t="n"/>
      <c r="C70" s="31" t="n"/>
      <c r="D70" s="31" t="n"/>
      <c r="E70" s="31" t="n"/>
      <c r="F70" s="36" t="n"/>
      <c r="G70" s="35" t="n"/>
      <c r="H70" s="35" t="n"/>
      <c r="I70" s="48" t="n"/>
      <c r="J70" s="35" t="n"/>
      <c r="K70" s="31" t="n"/>
    </row>
    <row r="71">
      <c r="A71" s="30" t="n"/>
      <c r="B71" s="29" t="n"/>
      <c r="C71" s="29" t="n"/>
      <c r="D71" s="29" t="n"/>
      <c r="E71" s="29" t="n"/>
      <c r="F71" s="38" t="n"/>
      <c r="G71" s="37" t="n"/>
      <c r="H71" s="37" t="n"/>
      <c r="I71" s="49" t="n"/>
      <c r="J71" s="37" t="n"/>
      <c r="K71" s="29" t="n"/>
    </row>
    <row r="72">
      <c r="A72" s="32" t="n"/>
      <c r="B72" s="31" t="n"/>
      <c r="C72" s="31" t="n"/>
      <c r="D72" s="31" t="n"/>
      <c r="E72" s="31" t="n"/>
      <c r="F72" s="36" t="n"/>
      <c r="G72" s="35" t="n"/>
      <c r="H72" s="35" t="n"/>
      <c r="I72" s="48" t="n"/>
      <c r="J72" s="35" t="n"/>
      <c r="K72" s="31" t="n"/>
    </row>
    <row r="73">
      <c r="A73" s="30" t="n"/>
      <c r="B73" s="29" t="n"/>
      <c r="C73" s="29" t="n"/>
      <c r="D73" s="29" t="n"/>
      <c r="E73" s="29" t="n"/>
      <c r="F73" s="38" t="n"/>
      <c r="G73" s="37" t="n"/>
      <c r="H73" s="37" t="n"/>
      <c r="I73" s="49" t="n"/>
      <c r="J73" s="37" t="n"/>
      <c r="K73" s="29" t="n"/>
    </row>
    <row r="74">
      <c r="A74" s="32" t="n"/>
      <c r="B74" s="31" t="n"/>
      <c r="C74" s="31" t="n"/>
      <c r="D74" s="31" t="n"/>
      <c r="E74" s="31" t="n"/>
      <c r="F74" s="36" t="n"/>
      <c r="G74" s="35" t="n"/>
      <c r="H74" s="35" t="n"/>
      <c r="I74" s="48" t="n"/>
      <c r="J74" s="35" t="n"/>
      <c r="K74" s="31" t="n"/>
    </row>
    <row r="75">
      <c r="A75" s="30" t="n"/>
      <c r="B75" s="29" t="n"/>
      <c r="C75" s="29" t="n"/>
      <c r="D75" s="29" t="n"/>
      <c r="E75" s="29" t="n"/>
      <c r="F75" s="38" t="n"/>
      <c r="G75" s="37" t="n"/>
      <c r="H75" s="37" t="n"/>
      <c r="I75" s="49" t="n"/>
      <c r="J75" s="37" t="n"/>
      <c r="K75" s="29" t="n"/>
    </row>
    <row r="76">
      <c r="A76" s="32" t="n"/>
      <c r="B76" s="31" t="n"/>
      <c r="C76" s="31" t="n"/>
      <c r="D76" s="31" t="n"/>
      <c r="E76" s="31" t="n"/>
      <c r="F76" s="36" t="n"/>
      <c r="G76" s="35" t="n"/>
      <c r="H76" s="35" t="n"/>
      <c r="I76" s="48" t="n"/>
      <c r="J76" s="35" t="n"/>
      <c r="K76" s="31" t="n"/>
    </row>
    <row r="77">
      <c r="A77" s="30" t="n"/>
      <c r="B77" s="29" t="n"/>
      <c r="C77" s="29" t="n"/>
      <c r="D77" s="29" t="n"/>
      <c r="E77" s="29" t="n"/>
      <c r="F77" s="38" t="n"/>
      <c r="G77" s="37" t="n"/>
      <c r="H77" s="37" t="n"/>
      <c r="I77" s="49" t="n"/>
      <c r="J77" s="37" t="n"/>
      <c r="K77" s="29" t="n"/>
    </row>
    <row r="78">
      <c r="A78" s="32" t="n"/>
      <c r="B78" s="31" t="n"/>
      <c r="C78" s="31" t="n"/>
      <c r="D78" s="31" t="n"/>
      <c r="E78" s="31" t="n"/>
      <c r="F78" s="36" t="n"/>
      <c r="G78" s="35" t="n"/>
      <c r="H78" s="35" t="n"/>
      <c r="I78" s="48" t="n"/>
      <c r="J78" s="35" t="n"/>
      <c r="K78" s="31" t="n"/>
    </row>
    <row r="79">
      <c r="A79" s="30" t="n"/>
      <c r="B79" s="29" t="n"/>
      <c r="C79" s="29" t="n"/>
      <c r="D79" s="29" t="n"/>
      <c r="E79" s="29" t="n"/>
      <c r="F79" s="38" t="n"/>
      <c r="G79" s="37" t="n"/>
      <c r="H79" s="37" t="n"/>
      <c r="I79" s="49" t="n"/>
      <c r="J79" s="37" t="n"/>
      <c r="K79" s="29" t="n"/>
    </row>
    <row r="80">
      <c r="A80" s="32" t="n"/>
      <c r="B80" s="31" t="n"/>
      <c r="C80" s="31" t="n"/>
      <c r="D80" s="31" t="n"/>
      <c r="E80" s="31" t="n"/>
      <c r="F80" s="36" t="n"/>
      <c r="G80" s="35" t="n"/>
      <c r="H80" s="35" t="n"/>
      <c r="I80" s="48" t="n"/>
      <c r="J80" s="35" t="n"/>
      <c r="K80" s="31" t="n"/>
    </row>
    <row r="81">
      <c r="A81" s="30" t="n"/>
      <c r="B81" s="29" t="n"/>
      <c r="C81" s="29" t="n"/>
      <c r="D81" s="29" t="n"/>
      <c r="E81" s="29" t="n"/>
      <c r="F81" s="38" t="n"/>
      <c r="G81" s="37" t="n"/>
      <c r="H81" s="37" t="n"/>
      <c r="I81" s="49" t="n"/>
      <c r="J81" s="37" t="n"/>
      <c r="K81" s="29" t="n"/>
    </row>
    <row r="82">
      <c r="A82" s="32" t="n"/>
      <c r="B82" s="31" t="n"/>
      <c r="C82" s="31" t="n"/>
      <c r="D82" s="31" t="n"/>
      <c r="E82" s="31" t="n"/>
      <c r="F82" s="36" t="n"/>
      <c r="G82" s="35" t="n"/>
      <c r="H82" s="35" t="n"/>
      <c r="I82" s="48" t="n"/>
      <c r="J82" s="35" t="n"/>
      <c r="K82" s="31" t="n"/>
    </row>
    <row r="83">
      <c r="A83" s="30" t="n"/>
      <c r="B83" s="29" t="n"/>
      <c r="C83" s="29" t="n"/>
      <c r="D83" s="29" t="n"/>
      <c r="E83" s="29" t="n"/>
      <c r="F83" s="38" t="n"/>
      <c r="G83" s="37" t="n"/>
      <c r="H83" s="37" t="n"/>
      <c r="I83" s="49" t="n"/>
      <c r="J83" s="37" t="n"/>
      <c r="K83" s="29" t="n"/>
    </row>
    <row r="84">
      <c r="A84" s="32" t="n"/>
      <c r="B84" s="31" t="n"/>
      <c r="C84" s="31" t="n"/>
      <c r="D84" s="31" t="n"/>
      <c r="E84" s="31" t="n"/>
      <c r="F84" s="36" t="n"/>
      <c r="G84" s="35" t="n"/>
      <c r="H84" s="35" t="n"/>
      <c r="I84" s="48" t="n"/>
      <c r="J84" s="35" t="n"/>
      <c r="K84" s="31" t="n"/>
    </row>
    <row r="85">
      <c r="A85" s="30" t="n"/>
      <c r="B85" s="29" t="n"/>
      <c r="C85" s="29" t="n"/>
      <c r="D85" s="29" t="n"/>
      <c r="E85" s="29" t="n"/>
      <c r="F85" s="38" t="n"/>
      <c r="G85" s="37" t="n"/>
      <c r="H85" s="37" t="n"/>
      <c r="I85" s="49" t="n"/>
      <c r="J85" s="37" t="n"/>
      <c r="K85" s="29" t="n"/>
    </row>
    <row r="86">
      <c r="A86" s="32" t="n"/>
      <c r="B86" s="31" t="n"/>
      <c r="C86" s="31" t="n"/>
      <c r="D86" s="31" t="n"/>
      <c r="E86" s="31" t="n"/>
      <c r="F86" s="36" t="n"/>
      <c r="G86" s="35" t="n"/>
      <c r="H86" s="35" t="n"/>
      <c r="I86" s="48" t="n"/>
      <c r="J86" s="35" t="n"/>
      <c r="K86" s="31" t="n"/>
    </row>
    <row r="87">
      <c r="A87" s="30" t="n"/>
      <c r="B87" s="29" t="n"/>
      <c r="C87" s="29" t="n"/>
      <c r="D87" s="29" t="n"/>
      <c r="E87" s="29" t="n"/>
      <c r="F87" s="38" t="n"/>
      <c r="G87" s="37" t="n"/>
      <c r="H87" s="37" t="n"/>
      <c r="I87" s="49" t="n"/>
      <c r="J87" s="37" t="n"/>
      <c r="K87" s="29" t="n"/>
    </row>
    <row r="88">
      <c r="A88" s="32" t="n"/>
      <c r="B88" s="31" t="n"/>
      <c r="C88" s="31" t="n"/>
      <c r="D88" s="31" t="n"/>
      <c r="E88" s="31" t="n"/>
      <c r="F88" s="36" t="n"/>
      <c r="G88" s="35" t="n"/>
      <c r="H88" s="35" t="n"/>
      <c r="I88" s="48" t="n"/>
      <c r="J88" s="35" t="n"/>
      <c r="K88" s="31" t="n"/>
    </row>
    <row r="89">
      <c r="A89" s="30" t="n"/>
      <c r="B89" s="29" t="n"/>
      <c r="C89" s="29" t="n"/>
      <c r="D89" s="29" t="n"/>
      <c r="E89" s="29" t="n"/>
      <c r="F89" s="38" t="n"/>
      <c r="G89" s="37" t="n"/>
      <c r="H89" s="37" t="n"/>
      <c r="I89" s="49" t="n"/>
      <c r="J89" s="37" t="n"/>
      <c r="K89" s="29" t="n"/>
    </row>
    <row r="90">
      <c r="A90" s="32" t="n"/>
      <c r="B90" s="31" t="n"/>
      <c r="C90" s="31" t="n"/>
      <c r="D90" s="31" t="n"/>
      <c r="E90" s="31" t="n"/>
      <c r="F90" s="36" t="n"/>
      <c r="G90" s="35" t="n"/>
      <c r="H90" s="35" t="n"/>
      <c r="I90" s="48" t="n"/>
      <c r="J90" s="35" t="n"/>
      <c r="K90" s="31" t="n"/>
    </row>
    <row r="91">
      <c r="A91" s="30" t="n"/>
      <c r="B91" s="29" t="n"/>
      <c r="C91" s="29" t="n"/>
      <c r="D91" s="29" t="n"/>
      <c r="E91" s="29" t="n"/>
      <c r="F91" s="38" t="n"/>
      <c r="G91" s="37" t="n"/>
      <c r="H91" s="37" t="n"/>
      <c r="I91" s="49" t="n"/>
      <c r="J91" s="37" t="n"/>
      <c r="K91" s="29" t="n"/>
    </row>
    <row r="92">
      <c r="A92" s="32" t="n"/>
      <c r="B92" s="31" t="n"/>
      <c r="C92" s="31" t="n"/>
      <c r="D92" s="31" t="n"/>
      <c r="E92" s="31" t="n"/>
      <c r="F92" s="36" t="n"/>
      <c r="G92" s="35" t="n"/>
      <c r="H92" s="35" t="n"/>
      <c r="I92" s="48" t="n"/>
      <c r="J92" s="35" t="n"/>
      <c r="K92" s="31" t="n"/>
    </row>
    <row r="93">
      <c r="A93" s="30" t="n"/>
      <c r="B93" s="29" t="n"/>
      <c r="C93" s="29" t="n"/>
      <c r="D93" s="29" t="n"/>
      <c r="E93" s="29" t="n"/>
      <c r="F93" s="38" t="n"/>
      <c r="G93" s="37" t="n"/>
      <c r="H93" s="37" t="n"/>
      <c r="I93" s="49" t="n"/>
      <c r="J93" s="37" t="n"/>
      <c r="K93" s="29" t="n"/>
    </row>
    <row r="94">
      <c r="A94" s="32" t="n"/>
      <c r="B94" s="31" t="n"/>
      <c r="C94" s="31" t="n"/>
      <c r="D94" s="31" t="n"/>
      <c r="E94" s="31" t="n"/>
      <c r="F94" s="36" t="n"/>
      <c r="G94" s="35" t="n"/>
      <c r="H94" s="35" t="n"/>
      <c r="I94" s="48" t="n"/>
      <c r="J94" s="35" t="n"/>
      <c r="K94" s="31" t="n"/>
    </row>
    <row r="95">
      <c r="A95" s="30" t="n"/>
      <c r="B95" s="29" t="n"/>
      <c r="C95" s="29" t="n"/>
      <c r="D95" s="29" t="n"/>
      <c r="E95" s="29" t="n"/>
      <c r="F95" s="38" t="n"/>
      <c r="G95" s="37" t="n"/>
      <c r="H95" s="37" t="n"/>
      <c r="I95" s="49" t="n"/>
      <c r="J95" s="37" t="n"/>
      <c r="K95" s="29" t="n"/>
    </row>
    <row r="96">
      <c r="A96" s="32" t="n"/>
      <c r="B96" s="31" t="n"/>
      <c r="C96" s="31" t="n"/>
      <c r="D96" s="31" t="n"/>
      <c r="E96" s="31" t="n"/>
      <c r="F96" s="36" t="n"/>
      <c r="G96" s="35" t="n"/>
      <c r="H96" s="35" t="n"/>
      <c r="I96" s="48" t="n"/>
      <c r="J96" s="35" t="n"/>
      <c r="K96" s="31" t="n"/>
    </row>
    <row r="97">
      <c r="A97" s="30" t="n"/>
      <c r="B97" s="29" t="n"/>
      <c r="C97" s="29" t="n"/>
      <c r="D97" s="29" t="n"/>
      <c r="E97" s="29" t="n"/>
      <c r="F97" s="38" t="n"/>
      <c r="G97" s="37" t="n"/>
      <c r="H97" s="37" t="n"/>
      <c r="I97" s="49" t="n"/>
      <c r="J97" s="37" t="n"/>
      <c r="K97" s="29" t="n"/>
    </row>
    <row r="98">
      <c r="A98" s="32" t="n"/>
      <c r="B98" s="31" t="n"/>
      <c r="C98" s="31" t="n"/>
      <c r="D98" s="31" t="n"/>
      <c r="E98" s="31" t="n"/>
      <c r="F98" s="36" t="n"/>
      <c r="G98" s="35" t="n"/>
      <c r="H98" s="35" t="n"/>
      <c r="I98" s="48" t="n"/>
      <c r="J98" s="35" t="n"/>
      <c r="K98" s="31" t="n"/>
    </row>
    <row r="99">
      <c r="A99" s="30" t="n"/>
      <c r="B99" s="29" t="n"/>
      <c r="C99" s="29" t="n"/>
      <c r="D99" s="29" t="n"/>
      <c r="E99" s="29" t="n"/>
      <c r="F99" s="38" t="n"/>
      <c r="G99" s="37" t="n"/>
      <c r="H99" s="37" t="n"/>
      <c r="I99" s="49" t="n"/>
      <c r="J99" s="37" t="n"/>
      <c r="K99" s="29" t="n"/>
    </row>
    <row r="100">
      <c r="A100" s="32" t="n"/>
      <c r="B100" s="31" t="n"/>
      <c r="C100" s="31" t="n"/>
      <c r="D100" s="31" t="n"/>
      <c r="E100" s="31" t="n"/>
      <c r="F100" s="36" t="n"/>
      <c r="G100" s="35" t="n"/>
      <c r="H100" s="35" t="n"/>
      <c r="I100" s="48" t="n"/>
      <c r="J100" s="35" t="n"/>
      <c r="K100" s="31" t="n"/>
    </row>
    <row r="101">
      <c r="A101" s="30" t="n"/>
      <c r="B101" s="29" t="n"/>
      <c r="C101" s="29" t="n"/>
      <c r="D101" s="29" t="n"/>
      <c r="E101" s="29" t="n"/>
      <c r="F101" s="38" t="n"/>
      <c r="G101" s="37" t="n"/>
      <c r="H101" s="37" t="n"/>
      <c r="I101" s="49" t="n"/>
      <c r="J101" s="37" t="n"/>
      <c r="K101" s="29" t="n"/>
    </row>
    <row r="102">
      <c r="A102" s="32" t="n"/>
      <c r="B102" s="31" t="n"/>
      <c r="C102" s="31" t="n"/>
      <c r="D102" s="31" t="n"/>
      <c r="E102" s="31" t="n"/>
      <c r="F102" s="36" t="n"/>
      <c r="G102" s="35" t="n"/>
      <c r="H102" s="35" t="n"/>
      <c r="I102" s="48" t="n"/>
      <c r="J102" s="35" t="n"/>
      <c r="K102" s="31" t="n"/>
    </row>
    <row r="103">
      <c r="A103" s="30" t="n"/>
      <c r="B103" s="29" t="n"/>
      <c r="C103" s="29" t="n"/>
      <c r="D103" s="29" t="n"/>
      <c r="E103" s="29" t="n"/>
      <c r="F103" s="38" t="n"/>
      <c r="G103" s="37" t="n"/>
      <c r="H103" s="37" t="n"/>
      <c r="I103" s="49" t="n"/>
      <c r="J103" s="37" t="n"/>
      <c r="K103" s="29" t="n"/>
    </row>
    <row r="104">
      <c r="A104" s="32" t="n"/>
      <c r="B104" s="31" t="n"/>
      <c r="C104" s="31" t="n"/>
      <c r="D104" s="31" t="n"/>
      <c r="E104" s="31" t="n"/>
      <c r="F104" s="36" t="n"/>
      <c r="G104" s="35" t="n"/>
      <c r="H104" s="35" t="n"/>
      <c r="I104" s="48" t="n"/>
      <c r="J104" s="35" t="n"/>
      <c r="K104" s="31" t="n"/>
    </row>
    <row r="105">
      <c r="A105" s="30" t="n"/>
      <c r="B105" s="29" t="n"/>
      <c r="C105" s="29" t="n"/>
      <c r="D105" s="29" t="n"/>
      <c r="E105" s="29" t="n"/>
      <c r="F105" s="38" t="n"/>
      <c r="G105" s="37" t="n"/>
      <c r="H105" s="37" t="n"/>
      <c r="I105" s="49" t="n"/>
      <c r="J105" s="37" t="n"/>
      <c r="K105" s="29" t="n"/>
    </row>
    <row r="106">
      <c r="A106" s="32" t="n"/>
      <c r="B106" s="31" t="n"/>
      <c r="C106" s="31" t="n"/>
      <c r="D106" s="31" t="n"/>
      <c r="E106" s="31" t="n"/>
      <c r="F106" s="36" t="n"/>
      <c r="G106" s="35" t="n"/>
      <c r="H106" s="35" t="n"/>
      <c r="I106" s="48" t="n"/>
      <c r="J106" s="35" t="n"/>
      <c r="K106" s="31" t="n"/>
    </row>
    <row r="107">
      <c r="A107" s="30" t="n"/>
      <c r="B107" s="29" t="n"/>
      <c r="C107" s="29" t="n"/>
      <c r="D107" s="29" t="n"/>
      <c r="E107" s="29" t="n"/>
      <c r="F107" s="38" t="n"/>
      <c r="G107" s="37" t="n"/>
      <c r="H107" s="37" t="n"/>
      <c r="I107" s="49" t="n"/>
      <c r="J107" s="37" t="n"/>
      <c r="K107" s="29" t="n"/>
    </row>
    <row r="108">
      <c r="A108" s="32" t="n"/>
      <c r="B108" s="31" t="n"/>
      <c r="C108" s="31" t="n"/>
      <c r="D108" s="31" t="n"/>
      <c r="E108" s="31" t="n"/>
      <c r="F108" s="36" t="n"/>
      <c r="G108" s="35" t="n"/>
      <c r="H108" s="35" t="n"/>
      <c r="I108" s="48" t="n"/>
      <c r="J108" s="35" t="n"/>
      <c r="K108" s="31" t="n"/>
    </row>
    <row r="109">
      <c r="A109" s="30" t="n"/>
      <c r="B109" s="29" t="n"/>
      <c r="C109" s="29" t="n"/>
      <c r="D109" s="29" t="n"/>
      <c r="E109" s="29" t="n"/>
      <c r="F109" s="38" t="n"/>
      <c r="G109" s="37" t="n"/>
      <c r="H109" s="37" t="n"/>
      <c r="I109" s="49" t="n"/>
      <c r="J109" s="37" t="n"/>
      <c r="K109" s="29" t="n"/>
    </row>
    <row r="110">
      <c r="A110" s="32" t="n"/>
      <c r="B110" s="31" t="n"/>
      <c r="C110" s="31" t="n"/>
      <c r="D110" s="31" t="n"/>
      <c r="E110" s="31" t="n"/>
      <c r="F110" s="36" t="n"/>
      <c r="G110" s="35" t="n"/>
      <c r="H110" s="35" t="n"/>
      <c r="I110" s="48" t="n"/>
      <c r="J110" s="35" t="n"/>
      <c r="K110" s="31" t="n"/>
    </row>
    <row r="111">
      <c r="A111" s="30" t="n"/>
      <c r="B111" s="29" t="n"/>
      <c r="C111" s="29" t="n"/>
      <c r="D111" s="29" t="n"/>
      <c r="E111" s="29" t="n"/>
      <c r="F111" s="38" t="n"/>
      <c r="G111" s="37" t="n"/>
      <c r="H111" s="37" t="n"/>
      <c r="I111" s="49" t="n"/>
      <c r="J111" s="37" t="n"/>
      <c r="K111" s="29" t="n"/>
    </row>
    <row r="112">
      <c r="A112" s="32" t="n"/>
      <c r="B112" s="31" t="n"/>
      <c r="C112" s="31" t="n"/>
      <c r="D112" s="31" t="n"/>
      <c r="E112" s="31" t="n"/>
      <c r="F112" s="36" t="n"/>
      <c r="G112" s="35" t="n"/>
      <c r="H112" s="35" t="n"/>
      <c r="I112" s="48" t="n"/>
      <c r="J112" s="35" t="n"/>
      <c r="K112" s="31" t="n"/>
    </row>
    <row r="113">
      <c r="A113" s="30" t="n"/>
      <c r="B113" s="29" t="n"/>
      <c r="C113" s="29" t="n"/>
      <c r="D113" s="29" t="n"/>
      <c r="E113" s="29" t="n"/>
      <c r="F113" s="38" t="n"/>
      <c r="G113" s="37" t="n"/>
      <c r="H113" s="37" t="n"/>
      <c r="I113" s="49" t="n"/>
      <c r="J113" s="37" t="n"/>
      <c r="K113" s="29" t="n"/>
    </row>
    <row r="114">
      <c r="A114" s="32" t="n"/>
      <c r="B114" s="31" t="n"/>
      <c r="C114" s="31" t="n"/>
      <c r="D114" s="31" t="n"/>
      <c r="E114" s="31" t="n"/>
      <c r="F114" s="36" t="n"/>
      <c r="G114" s="35" t="n"/>
      <c r="H114" s="35" t="n"/>
      <c r="I114" s="48" t="n"/>
      <c r="J114" s="35" t="n"/>
      <c r="K114" s="31" t="n"/>
    </row>
    <row r="115">
      <c r="A115" s="30" t="n"/>
      <c r="B115" s="29" t="n"/>
      <c r="C115" s="29" t="n"/>
      <c r="D115" s="29" t="n"/>
      <c r="E115" s="29" t="n"/>
      <c r="F115" s="38" t="n"/>
      <c r="G115" s="37" t="n"/>
      <c r="H115" s="37" t="n"/>
      <c r="I115" s="49" t="n"/>
      <c r="J115" s="37" t="n"/>
      <c r="K115" s="29" t="n"/>
    </row>
    <row r="116">
      <c r="A116" s="32" t="n"/>
      <c r="B116" s="31" t="n"/>
      <c r="C116" s="31" t="n"/>
      <c r="D116" s="31" t="n"/>
      <c r="E116" s="31" t="n"/>
      <c r="F116" s="36" t="n"/>
      <c r="G116" s="35" t="n"/>
      <c r="H116" s="35" t="n"/>
      <c r="I116" s="48" t="n"/>
      <c r="J116" s="35" t="n"/>
      <c r="K116" s="31" t="n"/>
    </row>
    <row r="117">
      <c r="A117" s="30" t="n"/>
      <c r="B117" s="29" t="n"/>
      <c r="C117" s="29" t="n"/>
      <c r="D117" s="29" t="n"/>
      <c r="E117" s="29" t="n"/>
      <c r="F117" s="38" t="n"/>
      <c r="G117" s="37" t="n"/>
      <c r="H117" s="37" t="n"/>
      <c r="I117" s="49" t="n"/>
      <c r="J117" s="37" t="n"/>
      <c r="K117" s="29" t="n"/>
    </row>
    <row r="118">
      <c r="A118" s="32" t="n"/>
      <c r="B118" s="31" t="n"/>
      <c r="C118" s="31" t="n"/>
      <c r="D118" s="31" t="n"/>
      <c r="E118" s="31" t="n"/>
      <c r="F118" s="36" t="n"/>
      <c r="G118" s="35" t="n"/>
      <c r="H118" s="35" t="n"/>
      <c r="I118" s="48" t="n"/>
      <c r="J118" s="35" t="n"/>
      <c r="K118" s="31" t="n"/>
    </row>
    <row r="119">
      <c r="A119" s="30" t="n"/>
      <c r="B119" s="29" t="n"/>
      <c r="C119" s="29" t="n"/>
      <c r="D119" s="29" t="n"/>
      <c r="E119" s="29" t="n"/>
      <c r="F119" s="38" t="n"/>
      <c r="G119" s="37" t="n"/>
      <c r="H119" s="37" t="n"/>
      <c r="I119" s="49" t="n"/>
      <c r="J119" s="37" t="n"/>
      <c r="K119" s="29" t="n"/>
    </row>
    <row r="120">
      <c r="A120" s="32" t="n"/>
      <c r="B120" s="31" t="n"/>
      <c r="C120" s="31" t="n"/>
      <c r="D120" s="31" t="n"/>
      <c r="E120" s="31" t="n"/>
      <c r="F120" s="36" t="n"/>
      <c r="G120" s="35" t="n"/>
      <c r="H120" s="35" t="n"/>
      <c r="I120" s="48" t="n"/>
      <c r="J120" s="35" t="n"/>
      <c r="K120" s="31" t="n"/>
    </row>
    <row r="121">
      <c r="A121" s="30" t="n"/>
      <c r="B121" s="29" t="n"/>
      <c r="C121" s="29" t="n"/>
      <c r="D121" s="29" t="n"/>
      <c r="E121" s="29" t="n"/>
      <c r="F121" s="38" t="n"/>
      <c r="G121" s="37" t="n"/>
      <c r="H121" s="37" t="n"/>
      <c r="I121" s="49" t="n"/>
      <c r="J121" s="37" t="n"/>
      <c r="K121" s="29" t="n"/>
    </row>
    <row r="122">
      <c r="A122" s="32" t="n"/>
      <c r="B122" s="31" t="n"/>
      <c r="C122" s="31" t="n"/>
      <c r="D122" s="31" t="n"/>
      <c r="E122" s="31" t="n"/>
      <c r="F122" s="36" t="n"/>
      <c r="G122" s="35" t="n"/>
      <c r="H122" s="35" t="n"/>
      <c r="I122" s="48" t="n"/>
      <c r="J122" s="35" t="n"/>
      <c r="K122" s="31" t="n"/>
    </row>
    <row r="123">
      <c r="A123" s="30" t="n"/>
      <c r="B123" s="29" t="n"/>
      <c r="C123" s="29" t="n"/>
      <c r="D123" s="29" t="n"/>
      <c r="E123" s="29" t="n"/>
      <c r="F123" s="38" t="n"/>
      <c r="G123" s="37" t="n"/>
      <c r="H123" s="37" t="n"/>
      <c r="I123" s="49" t="n"/>
      <c r="J123" s="37" t="n"/>
      <c r="K123" s="29" t="n"/>
    </row>
    <row r="124">
      <c r="A124" s="32" t="n"/>
      <c r="B124" s="31" t="n"/>
      <c r="C124" s="31" t="n"/>
      <c r="D124" s="31" t="n"/>
      <c r="E124" s="31" t="n"/>
      <c r="F124" s="36" t="n"/>
      <c r="G124" s="35" t="n"/>
      <c r="H124" s="35" t="n"/>
      <c r="I124" s="48" t="n"/>
      <c r="J124" s="35" t="n"/>
      <c r="K124" s="31" t="n"/>
    </row>
    <row r="125">
      <c r="A125" s="30" t="n"/>
      <c r="B125" s="29" t="n"/>
      <c r="C125" s="29" t="n"/>
      <c r="D125" s="29" t="n"/>
      <c r="E125" s="29" t="n"/>
      <c r="F125" s="38" t="n"/>
      <c r="G125" s="37" t="n"/>
      <c r="H125" s="37" t="n"/>
      <c r="I125" s="49" t="n"/>
      <c r="J125" s="37" t="n"/>
      <c r="K125" s="29" t="n"/>
    </row>
    <row r="126">
      <c r="A126" s="32" t="n"/>
      <c r="B126" s="31" t="n"/>
      <c r="C126" s="31" t="n"/>
      <c r="D126" s="31" t="n"/>
      <c r="E126" s="31" t="n"/>
      <c r="F126" s="36" t="n"/>
      <c r="G126" s="35" t="n"/>
      <c r="H126" s="35" t="n"/>
      <c r="I126" s="48" t="n"/>
      <c r="J126" s="35" t="n"/>
      <c r="K126" s="31" t="n"/>
    </row>
    <row r="127">
      <c r="A127" s="30" t="n"/>
      <c r="B127" s="29" t="n"/>
      <c r="C127" s="29" t="n"/>
      <c r="D127" s="29" t="n"/>
      <c r="E127" s="29" t="n"/>
      <c r="F127" s="38" t="n"/>
      <c r="G127" s="37" t="n"/>
      <c r="H127" s="37" t="n"/>
      <c r="I127" s="49" t="n"/>
      <c r="J127" s="37" t="n"/>
      <c r="K127" s="29" t="n"/>
    </row>
    <row r="128">
      <c r="A128" s="32" t="n"/>
      <c r="B128" s="31" t="n"/>
      <c r="C128" s="31" t="n"/>
      <c r="D128" s="31" t="n"/>
      <c r="E128" s="31" t="n"/>
      <c r="F128" s="36" t="n"/>
      <c r="G128" s="35" t="n"/>
      <c r="H128" s="35" t="n"/>
      <c r="I128" s="48" t="n"/>
      <c r="J128" s="35" t="n"/>
      <c r="K128" s="31" t="n"/>
    </row>
    <row r="129">
      <c r="A129" s="30" t="n"/>
      <c r="B129" s="29" t="n"/>
      <c r="C129" s="29" t="n"/>
      <c r="D129" s="29" t="n"/>
      <c r="E129" s="29" t="n"/>
      <c r="F129" s="38" t="n"/>
      <c r="G129" s="37" t="n"/>
      <c r="H129" s="37" t="n"/>
      <c r="I129" s="49" t="n"/>
      <c r="J129" s="37" t="n"/>
      <c r="K129" s="29" t="n"/>
    </row>
    <row r="130">
      <c r="A130" s="32" t="n"/>
      <c r="B130" s="31" t="n"/>
      <c r="C130" s="31" t="n"/>
      <c r="D130" s="31" t="n"/>
      <c r="E130" s="31" t="n"/>
      <c r="F130" s="36" t="n"/>
      <c r="G130" s="35" t="n"/>
      <c r="H130" s="35" t="n"/>
      <c r="I130" s="48" t="n"/>
      <c r="J130" s="35" t="n"/>
      <c r="K130" s="31" t="n"/>
    </row>
    <row r="131">
      <c r="A131" s="30" t="n"/>
      <c r="B131" s="29" t="n"/>
      <c r="C131" s="29" t="n"/>
      <c r="D131" s="29" t="n"/>
      <c r="E131" s="29" t="n"/>
      <c r="F131" s="38" t="n"/>
      <c r="G131" s="37" t="n"/>
      <c r="H131" s="37" t="n"/>
      <c r="I131" s="49" t="n"/>
      <c r="J131" s="37" t="n"/>
      <c r="K131" s="29" t="n"/>
    </row>
    <row r="132">
      <c r="A132" s="32" t="n"/>
      <c r="B132" s="31" t="n"/>
      <c r="C132" s="31" t="n"/>
      <c r="D132" s="31" t="n"/>
      <c r="E132" s="31" t="n"/>
      <c r="F132" s="36" t="n"/>
      <c r="G132" s="35" t="n"/>
      <c r="H132" s="35" t="n"/>
      <c r="I132" s="48" t="n"/>
      <c r="J132" s="35" t="n"/>
      <c r="K132" s="31" t="n"/>
    </row>
    <row r="133">
      <c r="A133" s="30" t="n"/>
      <c r="B133" s="29" t="n"/>
      <c r="C133" s="29" t="n"/>
      <c r="D133" s="29" t="n"/>
      <c r="E133" s="29" t="n"/>
      <c r="F133" s="38" t="n"/>
      <c r="G133" s="37" t="n"/>
      <c r="H133" s="37" t="n"/>
      <c r="I133" s="49" t="n"/>
      <c r="J133" s="37" t="n"/>
      <c r="K133" s="29" t="n"/>
    </row>
    <row r="134">
      <c r="A134" s="32" t="n"/>
      <c r="B134" s="31" t="n"/>
      <c r="C134" s="31" t="n"/>
      <c r="D134" s="31" t="n"/>
      <c r="E134" s="31" t="n"/>
      <c r="F134" s="36" t="n"/>
      <c r="G134" s="35" t="n"/>
      <c r="H134" s="35" t="n"/>
      <c r="I134" s="48" t="n"/>
      <c r="J134" s="35" t="n"/>
      <c r="K134" s="31" t="n"/>
    </row>
    <row r="135">
      <c r="A135" s="30" t="n"/>
      <c r="B135" s="29" t="n"/>
      <c r="C135" s="29" t="n"/>
      <c r="D135" s="29" t="n"/>
      <c r="E135" s="29" t="n"/>
      <c r="F135" s="38" t="n"/>
      <c r="G135" s="37" t="n"/>
      <c r="H135" s="37" t="n"/>
      <c r="I135" s="49" t="n"/>
      <c r="J135" s="37" t="n"/>
      <c r="K135" s="29" t="n"/>
    </row>
    <row r="136">
      <c r="A136" s="32" t="n"/>
      <c r="B136" s="31" t="n"/>
      <c r="C136" s="31" t="n"/>
      <c r="D136" s="31" t="n"/>
      <c r="E136" s="31" t="n"/>
      <c r="F136" s="36" t="n"/>
      <c r="G136" s="35" t="n"/>
      <c r="H136" s="35" t="n"/>
      <c r="I136" s="48" t="n"/>
      <c r="J136" s="35" t="n"/>
      <c r="K136" s="31" t="n"/>
    </row>
    <row r="137">
      <c r="A137" s="30" t="n"/>
      <c r="B137" s="29" t="n"/>
      <c r="C137" s="29" t="n"/>
      <c r="D137" s="29" t="n"/>
      <c r="E137" s="29" t="n"/>
      <c r="F137" s="38" t="n"/>
      <c r="G137" s="37" t="n"/>
      <c r="H137" s="37" t="n"/>
      <c r="I137" s="49" t="n"/>
      <c r="J137" s="37" t="n"/>
      <c r="K137" s="29" t="n"/>
    </row>
    <row r="138">
      <c r="A138" s="32" t="n"/>
      <c r="B138" s="31" t="n"/>
      <c r="C138" s="31" t="n"/>
      <c r="D138" s="31" t="n"/>
      <c r="E138" s="31" t="n"/>
      <c r="F138" s="36" t="n"/>
      <c r="G138" s="35" t="n"/>
      <c r="H138" s="35" t="n"/>
      <c r="I138" s="48" t="n"/>
      <c r="J138" s="35" t="n"/>
      <c r="K138" s="31" t="n"/>
    </row>
    <row r="139">
      <c r="A139" s="30" t="n"/>
      <c r="B139" s="29" t="n"/>
      <c r="C139" s="29" t="n"/>
      <c r="D139" s="29" t="n"/>
      <c r="E139" s="29" t="n"/>
      <c r="F139" s="38" t="n"/>
      <c r="G139" s="37" t="n"/>
      <c r="H139" s="37" t="n"/>
      <c r="I139" s="49" t="n"/>
      <c r="J139" s="37" t="n"/>
      <c r="K139" s="29" t="n"/>
    </row>
    <row r="140">
      <c r="A140" s="32" t="n"/>
      <c r="B140" s="31" t="n"/>
      <c r="C140" s="31" t="n"/>
      <c r="D140" s="31" t="n"/>
      <c r="E140" s="31" t="n"/>
      <c r="F140" s="36" t="n"/>
      <c r="G140" s="35" t="n"/>
      <c r="H140" s="35" t="n"/>
      <c r="I140" s="48" t="n"/>
      <c r="J140" s="35" t="n"/>
      <c r="K140" s="31" t="n"/>
    </row>
    <row r="141">
      <c r="A141" s="30" t="n"/>
      <c r="B141" s="29" t="n"/>
      <c r="C141" s="29" t="n"/>
      <c r="D141" s="29" t="n"/>
      <c r="E141" s="29" t="n"/>
      <c r="F141" s="38" t="n"/>
      <c r="G141" s="37" t="n"/>
      <c r="H141" s="37" t="n"/>
      <c r="I141" s="49" t="n"/>
      <c r="J141" s="37" t="n"/>
      <c r="K141" s="29" t="n"/>
    </row>
    <row r="142">
      <c r="A142" s="32" t="n"/>
      <c r="B142" s="31" t="n"/>
      <c r="C142" s="31" t="n"/>
      <c r="D142" s="31" t="n"/>
      <c r="E142" s="31" t="n"/>
      <c r="F142" s="36" t="n"/>
      <c r="G142" s="35" t="n"/>
      <c r="H142" s="35" t="n"/>
      <c r="I142" s="48" t="n"/>
      <c r="J142" s="35" t="n"/>
      <c r="K142" s="31" t="n"/>
    </row>
    <row r="143">
      <c r="A143" s="30" t="n"/>
      <c r="B143" s="29" t="n"/>
      <c r="C143" s="29" t="n"/>
      <c r="D143" s="29" t="n"/>
      <c r="E143" s="29" t="n"/>
      <c r="F143" s="38" t="n"/>
      <c r="G143" s="37" t="n"/>
      <c r="H143" s="37" t="n"/>
      <c r="I143" s="49" t="n"/>
      <c r="J143" s="37" t="n"/>
      <c r="K143" s="29" t="n"/>
    </row>
    <row r="144">
      <c r="A144" s="32" t="n"/>
      <c r="B144" s="31" t="n"/>
      <c r="C144" s="31" t="n"/>
      <c r="D144" s="31" t="n"/>
      <c r="E144" s="31" t="n"/>
      <c r="F144" s="36" t="n"/>
      <c r="G144" s="35" t="n"/>
      <c r="H144" s="35" t="n"/>
      <c r="I144" s="48" t="n"/>
      <c r="J144" s="35" t="n"/>
      <c r="K144" s="31" t="n"/>
    </row>
    <row r="145">
      <c r="A145" s="30" t="n"/>
      <c r="B145" s="29" t="n"/>
      <c r="C145" s="29" t="n"/>
      <c r="D145" s="29" t="n"/>
      <c r="E145" s="29" t="n"/>
      <c r="F145" s="38" t="n"/>
      <c r="G145" s="37" t="n"/>
      <c r="H145" s="37" t="n"/>
      <c r="I145" s="49" t="n"/>
      <c r="J145" s="37" t="n"/>
      <c r="K145" s="29" t="n"/>
    </row>
    <row r="146">
      <c r="A146" s="32" t="n"/>
      <c r="B146" s="31" t="n"/>
      <c r="C146" s="31" t="n"/>
      <c r="D146" s="31" t="n"/>
      <c r="E146" s="31" t="n"/>
      <c r="F146" s="36" t="n"/>
      <c r="G146" s="35" t="n"/>
      <c r="H146" s="35" t="n"/>
      <c r="I146" s="48" t="n"/>
      <c r="J146" s="35" t="n"/>
      <c r="K146" s="31" t="n"/>
    </row>
    <row r="147">
      <c r="A147" s="30" t="n"/>
      <c r="B147" s="29" t="n"/>
      <c r="C147" s="29" t="n"/>
      <c r="D147" s="29" t="n"/>
      <c r="E147" s="29" t="n"/>
      <c r="F147" s="38" t="n"/>
      <c r="G147" s="37" t="n"/>
      <c r="H147" s="37" t="n"/>
      <c r="I147" s="49" t="n"/>
      <c r="J147" s="37" t="n"/>
      <c r="K147" s="29" t="n"/>
    </row>
    <row r="148">
      <c r="A148" s="32" t="n"/>
      <c r="B148" s="31" t="n"/>
      <c r="C148" s="31" t="n"/>
      <c r="D148" s="31" t="n"/>
      <c r="E148" s="31" t="n"/>
      <c r="F148" s="36" t="n"/>
      <c r="G148" s="35" t="n"/>
      <c r="H148" s="35" t="n"/>
      <c r="I148" s="48" t="n"/>
      <c r="J148" s="35" t="n"/>
      <c r="K148" s="31" t="n"/>
    </row>
    <row r="149">
      <c r="A149" s="30" t="n"/>
      <c r="B149" s="29" t="n"/>
      <c r="C149" s="29" t="n"/>
      <c r="D149" s="29" t="n"/>
      <c r="E149" s="29" t="n"/>
      <c r="F149" s="38" t="n"/>
      <c r="G149" s="37" t="n"/>
      <c r="H149" s="37" t="n"/>
      <c r="I149" s="49" t="n"/>
      <c r="J149" s="37" t="n"/>
      <c r="K149" s="29" t="n"/>
    </row>
    <row r="150">
      <c r="A150" s="32" t="n"/>
      <c r="B150" s="31" t="n"/>
      <c r="C150" s="31" t="n"/>
      <c r="D150" s="31" t="n"/>
      <c r="E150" s="31" t="n"/>
      <c r="F150" s="36" t="n"/>
      <c r="G150" s="35" t="n"/>
      <c r="H150" s="35" t="n"/>
      <c r="I150" s="48" t="n"/>
      <c r="J150" s="35" t="n"/>
      <c r="K150" s="31" t="n"/>
    </row>
    <row r="151">
      <c r="A151" s="30" t="n"/>
      <c r="B151" s="29" t="n"/>
      <c r="C151" s="29" t="n"/>
      <c r="D151" s="29" t="n"/>
      <c r="E151" s="29" t="n"/>
      <c r="F151" s="38" t="n"/>
      <c r="G151" s="37" t="n"/>
      <c r="H151" s="37" t="n"/>
      <c r="I151" s="49" t="n"/>
      <c r="J151" s="37" t="n"/>
      <c r="K151" s="29" t="n"/>
    </row>
    <row r="152">
      <c r="A152" s="32" t="n"/>
      <c r="B152" s="31" t="n"/>
      <c r="C152" s="31" t="n"/>
      <c r="D152" s="31" t="n"/>
      <c r="E152" s="31" t="n"/>
      <c r="F152" s="36" t="n"/>
      <c r="G152" s="35" t="n"/>
      <c r="H152" s="35" t="n"/>
      <c r="I152" s="48" t="n"/>
      <c r="J152" s="35" t="n"/>
      <c r="K152" s="31" t="n"/>
    </row>
    <row r="153">
      <c r="A153" s="30" t="n"/>
      <c r="B153" s="29" t="n"/>
      <c r="C153" s="29" t="n"/>
      <c r="D153" s="29" t="n"/>
      <c r="E153" s="29" t="n"/>
      <c r="F153" s="38" t="n"/>
      <c r="G153" s="37" t="n"/>
      <c r="H153" s="37" t="n"/>
      <c r="I153" s="49" t="n"/>
      <c r="J153" s="37" t="n"/>
      <c r="K153" s="29" t="n"/>
    </row>
    <row r="154">
      <c r="A154" s="32" t="n"/>
      <c r="B154" s="31" t="n"/>
      <c r="C154" s="31" t="n"/>
      <c r="D154" s="31" t="n"/>
      <c r="E154" s="31" t="n"/>
      <c r="F154" s="36" t="n"/>
      <c r="G154" s="35" t="n"/>
      <c r="H154" s="35" t="n"/>
      <c r="I154" s="48" t="n"/>
      <c r="J154" s="35" t="n"/>
      <c r="K154" s="31" t="n"/>
    </row>
    <row r="155">
      <c r="A155" s="30" t="n"/>
      <c r="B155" s="29" t="n"/>
      <c r="C155" s="29" t="n"/>
      <c r="D155" s="29" t="n"/>
      <c r="E155" s="29" t="n"/>
      <c r="F155" s="38" t="n"/>
      <c r="G155" s="37" t="n"/>
      <c r="H155" s="37" t="n"/>
      <c r="I155" s="49" t="n"/>
      <c r="J155" s="37" t="n"/>
      <c r="K155" s="29" t="n"/>
    </row>
    <row r="156">
      <c r="A156" s="32" t="n"/>
      <c r="B156" s="31" t="n"/>
      <c r="C156" s="31" t="n"/>
      <c r="D156" s="31" t="n"/>
      <c r="E156" s="31" t="n"/>
      <c r="F156" s="36" t="n"/>
      <c r="G156" s="35" t="n"/>
      <c r="H156" s="35" t="n"/>
      <c r="I156" s="48" t="n"/>
      <c r="J156" s="35" t="n"/>
      <c r="K156" s="31" t="n"/>
    </row>
    <row r="157">
      <c r="A157" s="30" t="n"/>
      <c r="B157" s="29" t="n"/>
      <c r="C157" s="29" t="n"/>
      <c r="D157" s="29" t="n"/>
      <c r="E157" s="29" t="n"/>
      <c r="F157" s="38" t="n"/>
      <c r="G157" s="37" t="n"/>
      <c r="H157" s="37" t="n"/>
      <c r="I157" s="49" t="n"/>
      <c r="J157" s="37" t="n"/>
      <c r="K157" s="29" t="n"/>
    </row>
    <row r="158">
      <c r="A158" s="32" t="n"/>
      <c r="B158" s="31" t="n"/>
      <c r="C158" s="31" t="n"/>
      <c r="D158" s="31" t="n"/>
      <c r="E158" s="31" t="n"/>
      <c r="F158" s="36" t="n"/>
      <c r="G158" s="35" t="n"/>
      <c r="H158" s="35" t="n"/>
      <c r="I158" s="48" t="n"/>
      <c r="J158" s="35" t="n"/>
      <c r="K158" s="31" t="n"/>
    </row>
    <row r="159">
      <c r="A159" s="30" t="n"/>
      <c r="B159" s="29" t="n"/>
      <c r="C159" s="29" t="n"/>
      <c r="D159" s="29" t="n"/>
      <c r="E159" s="29" t="n"/>
      <c r="F159" s="38" t="n"/>
      <c r="G159" s="37" t="n"/>
      <c r="H159" s="37" t="n"/>
      <c r="I159" s="49" t="n"/>
      <c r="J159" s="37" t="n"/>
      <c r="K159" s="29" t="n"/>
    </row>
    <row r="160">
      <c r="A160" s="32" t="n"/>
      <c r="B160" s="31" t="n"/>
      <c r="C160" s="31" t="n"/>
      <c r="D160" s="31" t="n"/>
      <c r="E160" s="31" t="n"/>
      <c r="F160" s="36" t="n"/>
      <c r="G160" s="35" t="n"/>
      <c r="H160" s="35" t="n"/>
      <c r="I160" s="48" t="n"/>
      <c r="J160" s="35" t="n"/>
      <c r="K160" s="31" t="n"/>
    </row>
    <row r="161">
      <c r="A161" s="30" t="n"/>
      <c r="B161" s="29" t="n"/>
      <c r="C161" s="29" t="n"/>
      <c r="D161" s="29" t="n"/>
      <c r="E161" s="29" t="n"/>
      <c r="F161" s="38" t="n"/>
      <c r="G161" s="37" t="n"/>
      <c r="H161" s="37" t="n"/>
      <c r="I161" s="49" t="n"/>
      <c r="J161" s="37" t="n"/>
      <c r="K161" s="29" t="n"/>
    </row>
    <row r="162">
      <c r="A162" s="32" t="n"/>
      <c r="B162" s="31" t="n"/>
      <c r="C162" s="31" t="n"/>
      <c r="D162" s="31" t="n"/>
      <c r="E162" s="31" t="n"/>
      <c r="F162" s="36" t="n"/>
      <c r="G162" s="35" t="n"/>
      <c r="H162" s="35" t="n"/>
      <c r="I162" s="48" t="n"/>
      <c r="J162" s="35" t="n"/>
      <c r="K162" s="31" t="n"/>
    </row>
    <row r="163">
      <c r="A163" s="30" t="n"/>
      <c r="B163" s="29" t="n"/>
      <c r="C163" s="29" t="n"/>
      <c r="D163" s="29" t="n"/>
      <c r="E163" s="29" t="n"/>
      <c r="F163" s="38" t="n"/>
      <c r="G163" s="37" t="n"/>
      <c r="H163" s="37" t="n"/>
      <c r="I163" s="49" t="n"/>
      <c r="J163" s="37" t="n"/>
      <c r="K163" s="29" t="n"/>
    </row>
    <row r="164">
      <c r="A164" s="32" t="n"/>
      <c r="B164" s="31" t="n"/>
      <c r="C164" s="31" t="n"/>
      <c r="D164" s="31" t="n"/>
      <c r="E164" s="31" t="n"/>
      <c r="F164" s="36" t="n"/>
      <c r="G164" s="35" t="n"/>
      <c r="H164" s="35" t="n"/>
      <c r="I164" s="48" t="n"/>
      <c r="J164" s="35" t="n"/>
      <c r="K164" s="31" t="n"/>
    </row>
    <row r="165">
      <c r="A165" s="30" t="n"/>
      <c r="B165" s="29" t="n"/>
      <c r="C165" s="29" t="n"/>
      <c r="D165" s="29" t="n"/>
      <c r="E165" s="29" t="n"/>
      <c r="F165" s="38" t="n"/>
      <c r="G165" s="37" t="n"/>
      <c r="H165" s="37" t="n"/>
      <c r="I165" s="49" t="n"/>
      <c r="J165" s="37" t="n"/>
      <c r="K165" s="29" t="n"/>
    </row>
    <row r="166">
      <c r="A166" s="32" t="n"/>
      <c r="B166" s="31" t="n"/>
      <c r="C166" s="31" t="n"/>
      <c r="D166" s="31" t="n"/>
      <c r="E166" s="31" t="n"/>
      <c r="F166" s="36" t="n"/>
      <c r="G166" s="35" t="n"/>
      <c r="H166" s="35" t="n"/>
      <c r="I166" s="48" t="n"/>
      <c r="J166" s="35" t="n"/>
      <c r="K166" s="31" t="n"/>
    </row>
    <row r="167">
      <c r="A167" s="30" t="n"/>
      <c r="B167" s="29" t="n"/>
      <c r="C167" s="29" t="n"/>
      <c r="D167" s="29" t="n"/>
      <c r="E167" s="29" t="n"/>
      <c r="F167" s="38" t="n"/>
      <c r="G167" s="37" t="n"/>
      <c r="H167" s="37" t="n"/>
      <c r="I167" s="49" t="n"/>
      <c r="J167" s="37" t="n"/>
      <c r="K167" s="29" t="n"/>
    </row>
    <row r="168">
      <c r="A168" s="32" t="n"/>
      <c r="B168" s="31" t="n"/>
      <c r="C168" s="31" t="n"/>
      <c r="D168" s="31" t="n"/>
      <c r="E168" s="31" t="n"/>
      <c r="F168" s="36" t="n"/>
      <c r="G168" s="35" t="n"/>
      <c r="H168" s="35" t="n"/>
      <c r="I168" s="48" t="n"/>
      <c r="J168" s="35" t="n"/>
      <c r="K168" s="31" t="n"/>
    </row>
    <row r="169">
      <c r="A169" s="30" t="n"/>
      <c r="B169" s="29" t="n"/>
      <c r="C169" s="29" t="n"/>
      <c r="D169" s="29" t="n"/>
      <c r="E169" s="29" t="n"/>
      <c r="F169" s="38" t="n"/>
      <c r="G169" s="37" t="n"/>
      <c r="H169" s="37" t="n"/>
      <c r="I169" s="49" t="n"/>
      <c r="J169" s="37" t="n"/>
      <c r="K169" s="29" t="n"/>
    </row>
    <row r="170">
      <c r="A170" s="32" t="n"/>
      <c r="B170" s="31" t="n"/>
      <c r="C170" s="31" t="n"/>
      <c r="D170" s="31" t="n"/>
      <c r="E170" s="31" t="n"/>
      <c r="F170" s="36" t="n"/>
      <c r="G170" s="35" t="n"/>
      <c r="H170" s="35" t="n"/>
      <c r="I170" s="48" t="n"/>
      <c r="J170" s="35" t="n"/>
      <c r="K170" s="31" t="n"/>
    </row>
    <row r="171">
      <c r="A171" s="30" t="n"/>
      <c r="B171" s="29" t="n"/>
      <c r="C171" s="29" t="n"/>
      <c r="D171" s="29" t="n"/>
      <c r="E171" s="29" t="n"/>
      <c r="F171" s="38" t="n"/>
      <c r="G171" s="37" t="n"/>
      <c r="H171" s="37" t="n"/>
      <c r="I171" s="49" t="n"/>
      <c r="J171" s="37" t="n"/>
      <c r="K171" s="29" t="n"/>
    </row>
    <row r="172">
      <c r="A172" s="32" t="n"/>
      <c r="B172" s="31" t="n"/>
      <c r="C172" s="31" t="n"/>
      <c r="D172" s="31" t="n"/>
      <c r="E172" s="31" t="n"/>
      <c r="F172" s="36" t="n"/>
      <c r="G172" s="35" t="n"/>
      <c r="H172" s="35" t="n"/>
      <c r="I172" s="48" t="n"/>
      <c r="J172" s="35" t="n"/>
      <c r="K172" s="31" t="n"/>
    </row>
    <row r="173">
      <c r="A173" s="30" t="n"/>
      <c r="B173" s="29" t="n"/>
      <c r="C173" s="29" t="n"/>
      <c r="D173" s="29" t="n"/>
      <c r="E173" s="29" t="n"/>
      <c r="F173" s="38" t="n"/>
      <c r="G173" s="37" t="n"/>
      <c r="H173" s="37" t="n"/>
      <c r="I173" s="49" t="n"/>
      <c r="J173" s="37" t="n"/>
      <c r="K173" s="29" t="n"/>
    </row>
    <row r="174">
      <c r="A174" s="32" t="n"/>
      <c r="B174" s="31" t="n"/>
      <c r="C174" s="31" t="n"/>
      <c r="D174" s="31" t="n"/>
      <c r="E174" s="31" t="n"/>
      <c r="F174" s="36" t="n"/>
      <c r="G174" s="35" t="n"/>
      <c r="H174" s="35" t="n"/>
      <c r="I174" s="48" t="n"/>
      <c r="J174" s="35" t="n"/>
      <c r="K174" s="31" t="n"/>
    </row>
    <row r="175">
      <c r="A175" s="30" t="n"/>
      <c r="B175" s="29" t="n"/>
      <c r="C175" s="29" t="n"/>
      <c r="D175" s="29" t="n"/>
      <c r="E175" s="29" t="n"/>
      <c r="F175" s="38" t="n"/>
      <c r="G175" s="37" t="n"/>
      <c r="H175" s="37" t="n"/>
      <c r="I175" s="49" t="n"/>
      <c r="J175" s="37" t="n"/>
      <c r="K175" s="29" t="n"/>
    </row>
    <row r="176">
      <c r="A176" s="32" t="n"/>
      <c r="B176" s="31" t="n"/>
      <c r="C176" s="31" t="n"/>
      <c r="D176" s="31" t="n"/>
      <c r="E176" s="31" t="n"/>
      <c r="F176" s="36" t="n"/>
      <c r="G176" s="35" t="n"/>
      <c r="H176" s="35" t="n"/>
      <c r="I176" s="48" t="n"/>
      <c r="J176" s="35" t="n"/>
      <c r="K176" s="31" t="n"/>
    </row>
    <row r="177">
      <c r="A177" s="30" t="n"/>
      <c r="B177" s="29" t="n"/>
      <c r="C177" s="29" t="n"/>
      <c r="D177" s="29" t="n"/>
      <c r="E177" s="29" t="n"/>
      <c r="F177" s="38" t="n"/>
      <c r="G177" s="37" t="n"/>
      <c r="H177" s="37" t="n"/>
      <c r="I177" s="49" t="n"/>
      <c r="J177" s="37" t="n"/>
      <c r="K177" s="29" t="n"/>
    </row>
    <row r="178">
      <c r="A178" s="32" t="n"/>
      <c r="B178" s="31" t="n"/>
      <c r="C178" s="31" t="n"/>
      <c r="D178" s="31" t="n"/>
      <c r="E178" s="31" t="n"/>
      <c r="F178" s="36" t="n"/>
      <c r="G178" s="35" t="n"/>
      <c r="H178" s="35" t="n"/>
      <c r="I178" s="48" t="n"/>
      <c r="J178" s="35" t="n"/>
      <c r="K178" s="31" t="n"/>
    </row>
    <row r="179">
      <c r="A179" s="30" t="n"/>
      <c r="B179" s="29" t="n"/>
      <c r="C179" s="29" t="n"/>
      <c r="D179" s="29" t="n"/>
      <c r="E179" s="29" t="n"/>
      <c r="F179" s="38" t="n"/>
      <c r="G179" s="37" t="n"/>
      <c r="H179" s="37" t="n"/>
      <c r="I179" s="49" t="n"/>
      <c r="J179" s="37" t="n"/>
      <c r="K179" s="29" t="n"/>
    </row>
    <row r="180">
      <c r="A180" s="32" t="n"/>
      <c r="B180" s="31" t="n"/>
      <c r="C180" s="31" t="n"/>
      <c r="D180" s="31" t="n"/>
      <c r="E180" s="31" t="n"/>
      <c r="F180" s="36" t="n"/>
      <c r="G180" s="35" t="n"/>
      <c r="H180" s="35" t="n"/>
      <c r="I180" s="48" t="n"/>
      <c r="J180" s="35" t="n"/>
      <c r="K180" s="31" t="n"/>
    </row>
    <row r="181">
      <c r="A181" s="30" t="n"/>
      <c r="B181" s="29" t="n"/>
      <c r="C181" s="29" t="n"/>
      <c r="D181" s="29" t="n"/>
      <c r="E181" s="29" t="n"/>
      <c r="F181" s="38" t="n"/>
      <c r="G181" s="37" t="n"/>
      <c r="H181" s="37" t="n"/>
      <c r="I181" s="49" t="n"/>
      <c r="J181" s="37" t="n"/>
      <c r="K181" s="29" t="n"/>
    </row>
    <row r="182">
      <c r="A182" s="32" t="n"/>
      <c r="B182" s="31" t="n"/>
      <c r="C182" s="31" t="n"/>
      <c r="D182" s="31" t="n"/>
      <c r="E182" s="31" t="n"/>
      <c r="F182" s="36" t="n"/>
      <c r="G182" s="35" t="n"/>
      <c r="H182" s="35" t="n"/>
      <c r="I182" s="48" t="n"/>
      <c r="J182" s="35" t="n"/>
      <c r="K182" s="31" t="n"/>
    </row>
    <row r="183">
      <c r="A183" s="30" t="n"/>
      <c r="B183" s="29" t="n"/>
      <c r="C183" s="29" t="n"/>
      <c r="D183" s="29" t="n"/>
      <c r="E183" s="29" t="n"/>
      <c r="F183" s="38" t="n"/>
      <c r="G183" s="37" t="n"/>
      <c r="H183" s="37" t="n"/>
      <c r="I183" s="49" t="n"/>
      <c r="J183" s="37" t="n"/>
      <c r="K183" s="29" t="n"/>
    </row>
    <row r="184">
      <c r="A184" s="32" t="n"/>
      <c r="B184" s="31" t="n"/>
      <c r="C184" s="31" t="n"/>
      <c r="D184" s="31" t="n"/>
      <c r="E184" s="31" t="n"/>
      <c r="F184" s="36" t="n"/>
      <c r="G184" s="35" t="n"/>
      <c r="H184" s="35" t="n"/>
      <c r="I184" s="48" t="n"/>
      <c r="J184" s="35" t="n"/>
      <c r="K184" s="31" t="n"/>
    </row>
    <row r="185">
      <c r="A185" s="30" t="n"/>
      <c r="B185" s="29" t="n"/>
      <c r="C185" s="29" t="n"/>
      <c r="D185" s="29" t="n"/>
      <c r="E185" s="29" t="n"/>
      <c r="F185" s="38" t="n"/>
      <c r="G185" s="37" t="n"/>
      <c r="H185" s="37" t="n"/>
      <c r="I185" s="49" t="n"/>
      <c r="J185" s="37" t="n"/>
      <c r="K185" s="29" t="n"/>
    </row>
    <row r="186">
      <c r="A186" s="32" t="n"/>
      <c r="B186" s="31" t="n"/>
      <c r="C186" s="31" t="n"/>
      <c r="D186" s="31" t="n"/>
      <c r="E186" s="31" t="n"/>
      <c r="F186" s="36" t="n"/>
      <c r="G186" s="35" t="n"/>
      <c r="H186" s="35" t="n"/>
      <c r="I186" s="48" t="n"/>
      <c r="J186" s="35" t="n"/>
      <c r="K186" s="31" t="n"/>
    </row>
    <row r="187">
      <c r="A187" s="30" t="n"/>
      <c r="B187" s="29" t="n"/>
      <c r="C187" s="29" t="n"/>
      <c r="D187" s="29" t="n"/>
      <c r="E187" s="29" t="n"/>
      <c r="F187" s="38" t="n"/>
      <c r="G187" s="37" t="n"/>
      <c r="H187" s="37" t="n"/>
      <c r="I187" s="49" t="n"/>
      <c r="J187" s="37" t="n"/>
      <c r="K187" s="29" t="n"/>
    </row>
    <row r="188">
      <c r="A188" s="32" t="n"/>
      <c r="B188" s="31" t="n"/>
      <c r="C188" s="31" t="n"/>
      <c r="D188" s="31" t="n"/>
      <c r="E188" s="31" t="n"/>
      <c r="F188" s="36" t="n"/>
      <c r="G188" s="35" t="n"/>
      <c r="H188" s="35" t="n"/>
      <c r="I188" s="48" t="n"/>
      <c r="J188" s="35" t="n"/>
      <c r="K188" s="31" t="n"/>
    </row>
    <row r="189">
      <c r="A189" s="30" t="n"/>
      <c r="B189" s="29" t="n"/>
      <c r="C189" s="29" t="n"/>
      <c r="D189" s="29" t="n"/>
      <c r="E189" s="29" t="n"/>
      <c r="F189" s="38" t="n"/>
      <c r="G189" s="37" t="n"/>
      <c r="H189" s="37" t="n"/>
      <c r="I189" s="49" t="n"/>
      <c r="J189" s="37" t="n"/>
      <c r="K189" s="29" t="n"/>
    </row>
    <row r="190">
      <c r="A190" s="32" t="n"/>
      <c r="B190" s="31" t="n"/>
      <c r="C190" s="31" t="n"/>
      <c r="D190" s="31" t="n"/>
      <c r="E190" s="31" t="n"/>
      <c r="F190" s="36" t="n"/>
      <c r="G190" s="35" t="n"/>
      <c r="H190" s="35" t="n"/>
      <c r="I190" s="48" t="n"/>
      <c r="J190" s="35" t="n"/>
      <c r="K190" s="31" t="n"/>
    </row>
    <row r="191">
      <c r="A191" s="30" t="n"/>
      <c r="B191" s="29" t="n"/>
      <c r="C191" s="29" t="n"/>
      <c r="D191" s="29" t="n"/>
      <c r="E191" s="29" t="n"/>
      <c r="F191" s="38" t="n"/>
      <c r="G191" s="37" t="n"/>
      <c r="H191" s="37" t="n"/>
      <c r="I191" s="49" t="n"/>
      <c r="J191" s="37" t="n"/>
      <c r="K191" s="29" t="n"/>
    </row>
    <row r="192">
      <c r="A192" s="32" t="n"/>
      <c r="B192" s="31" t="n"/>
      <c r="C192" s="31" t="n"/>
      <c r="D192" s="31" t="n"/>
      <c r="E192" s="31" t="n"/>
      <c r="F192" s="36" t="n"/>
      <c r="G192" s="35" t="n"/>
      <c r="H192" s="35" t="n"/>
      <c r="I192" s="48" t="n"/>
      <c r="J192" s="35" t="n"/>
      <c r="K192" s="31" t="n"/>
    </row>
    <row r="193">
      <c r="A193" s="30" t="n"/>
      <c r="B193" s="29" t="n"/>
      <c r="C193" s="29" t="n"/>
      <c r="D193" s="29" t="n"/>
      <c r="E193" s="29" t="n"/>
      <c r="F193" s="38" t="n"/>
      <c r="G193" s="37" t="n"/>
      <c r="H193" s="37" t="n"/>
      <c r="I193" s="49" t="n"/>
      <c r="J193" s="37" t="n"/>
      <c r="K193" s="29" t="n"/>
    </row>
    <row r="194">
      <c r="A194" s="32" t="n"/>
      <c r="B194" s="31" t="n"/>
      <c r="C194" s="31" t="n"/>
      <c r="D194" s="31" t="n"/>
      <c r="E194" s="31" t="n"/>
      <c r="F194" s="36" t="n"/>
      <c r="G194" s="35" t="n"/>
      <c r="H194" s="35" t="n"/>
      <c r="I194" s="48" t="n"/>
      <c r="J194" s="35" t="n"/>
      <c r="K194" s="31" t="n"/>
    </row>
    <row r="195">
      <c r="A195" s="30" t="n"/>
      <c r="B195" s="29" t="n"/>
      <c r="C195" s="29" t="n"/>
      <c r="D195" s="29" t="n"/>
      <c r="E195" s="29" t="n"/>
      <c r="F195" s="38" t="n"/>
      <c r="G195" s="37" t="n"/>
      <c r="H195" s="37" t="n"/>
      <c r="I195" s="49" t="n"/>
      <c r="J195" s="37" t="n"/>
      <c r="K195" s="29" t="n"/>
    </row>
    <row r="196">
      <c r="A196" s="32" t="n"/>
      <c r="B196" s="31" t="n"/>
      <c r="C196" s="31" t="n"/>
      <c r="D196" s="31" t="n"/>
      <c r="E196" s="31" t="n"/>
      <c r="F196" s="36" t="n"/>
      <c r="G196" s="35" t="n"/>
      <c r="H196" s="35" t="n"/>
      <c r="I196" s="48" t="n"/>
      <c r="J196" s="35" t="n"/>
      <c r="K196" s="31" t="n"/>
    </row>
    <row r="197">
      <c r="A197" s="30" t="n"/>
      <c r="B197" s="29" t="n"/>
      <c r="C197" s="29" t="n"/>
      <c r="D197" s="29" t="n"/>
      <c r="E197" s="29" t="n"/>
      <c r="F197" s="38" t="n"/>
      <c r="G197" s="37" t="n"/>
      <c r="H197" s="37" t="n"/>
      <c r="I197" s="49" t="n"/>
      <c r="J197" s="37" t="n"/>
      <c r="K197" s="29" t="n"/>
    </row>
    <row r="198">
      <c r="A198" s="32" t="n"/>
      <c r="B198" s="31" t="n"/>
      <c r="C198" s="31" t="n"/>
      <c r="D198" s="31" t="n"/>
      <c r="E198" s="31" t="n"/>
      <c r="F198" s="36" t="n"/>
      <c r="G198" s="35" t="n"/>
      <c r="H198" s="35" t="n"/>
      <c r="I198" s="48" t="n"/>
      <c r="J198" s="35" t="n"/>
      <c r="K198" s="31" t="n"/>
    </row>
    <row r="199">
      <c r="A199" s="30" t="n"/>
      <c r="B199" s="29" t="n"/>
      <c r="C199" s="29" t="n"/>
      <c r="D199" s="29" t="n"/>
      <c r="E199" s="29" t="n"/>
      <c r="F199" s="38" t="n"/>
      <c r="G199" s="37" t="n"/>
      <c r="H199" s="37" t="n"/>
      <c r="I199" s="49" t="n"/>
      <c r="J199" s="37" t="n"/>
      <c r="K199" s="29" t="n"/>
    </row>
    <row r="200">
      <c r="A200" s="32" t="n"/>
      <c r="B200" s="31" t="n"/>
      <c r="C200" s="31" t="n"/>
      <c r="D200" s="31" t="n"/>
      <c r="E200" s="31" t="n"/>
      <c r="F200" s="36" t="n"/>
      <c r="G200" s="35" t="n"/>
      <c r="H200" s="35" t="n"/>
      <c r="I200" s="48" t="n"/>
      <c r="J200" s="35" t="n"/>
      <c r="K200" s="31" t="n"/>
    </row>
    <row r="201">
      <c r="A201" s="30" t="n"/>
      <c r="B201" s="29" t="n"/>
      <c r="C201" s="29" t="n"/>
      <c r="D201" s="29" t="n"/>
      <c r="E201" s="29" t="n"/>
      <c r="F201" s="38" t="n"/>
      <c r="G201" s="37" t="n"/>
      <c r="H201" s="37" t="n"/>
      <c r="I201" s="49" t="n"/>
      <c r="J201" s="37" t="n"/>
      <c r="K201" s="29" t="n"/>
    </row>
    <row r="202">
      <c r="A202" s="32" t="n"/>
      <c r="B202" s="31" t="n"/>
      <c r="C202" s="31" t="n"/>
      <c r="D202" s="31" t="n"/>
      <c r="E202" s="31" t="n"/>
      <c r="F202" s="36" t="n"/>
      <c r="G202" s="35" t="n"/>
      <c r="H202" s="35" t="n"/>
      <c r="I202" s="48" t="n"/>
      <c r="J202" s="35" t="n"/>
      <c r="K202" s="31" t="n"/>
    </row>
    <row r="203">
      <c r="A203" s="30" t="n"/>
      <c r="B203" s="29" t="n"/>
      <c r="C203" s="29" t="n"/>
      <c r="D203" s="29" t="n"/>
      <c r="E203" s="29" t="n"/>
      <c r="F203" s="38" t="n"/>
      <c r="G203" s="37" t="n"/>
      <c r="H203" s="37" t="n"/>
      <c r="I203" s="49" t="n"/>
      <c r="J203" s="37" t="n"/>
      <c r="K203" s="29" t="n"/>
    </row>
    <row r="204">
      <c r="A204" s="32" t="n"/>
      <c r="B204" s="31" t="n"/>
      <c r="C204" s="31" t="n"/>
      <c r="D204" s="31" t="n"/>
      <c r="E204" s="31" t="n"/>
      <c r="F204" s="36" t="n"/>
      <c r="G204" s="35" t="n"/>
      <c r="H204" s="35" t="n"/>
      <c r="I204" s="48" t="n"/>
      <c r="J204" s="35" t="n"/>
      <c r="K204" s="31" t="n"/>
    </row>
    <row r="205">
      <c r="A205" s="30" t="n"/>
      <c r="B205" s="29" t="n"/>
      <c r="C205" s="29" t="n"/>
      <c r="D205" s="29" t="n"/>
      <c r="E205" s="29" t="n"/>
      <c r="F205" s="38" t="n"/>
      <c r="G205" s="37" t="n"/>
      <c r="H205" s="37" t="n"/>
      <c r="I205" s="49" t="n"/>
      <c r="J205" s="37" t="n"/>
      <c r="K205" s="29" t="n"/>
    </row>
    <row r="206">
      <c r="A206" s="32" t="n"/>
      <c r="B206" s="31" t="n"/>
      <c r="C206" s="31" t="n"/>
      <c r="D206" s="31" t="n"/>
      <c r="E206" s="31" t="n"/>
      <c r="F206" s="36" t="n"/>
      <c r="G206" s="35" t="n"/>
      <c r="H206" s="35" t="n"/>
      <c r="I206" s="48" t="n"/>
      <c r="J206" s="35" t="n"/>
      <c r="K206" s="31" t="n"/>
    </row>
    <row r="207">
      <c r="A207" s="30" t="n"/>
      <c r="B207" s="29" t="n"/>
      <c r="C207" s="29" t="n"/>
      <c r="D207" s="29" t="n"/>
      <c r="E207" s="29" t="n"/>
      <c r="F207" s="38" t="n"/>
      <c r="G207" s="37" t="n"/>
      <c r="H207" s="37" t="n"/>
      <c r="I207" s="49" t="n"/>
      <c r="J207" s="37" t="n"/>
      <c r="K207" s="29" t="n"/>
    </row>
    <row r="208">
      <c r="A208" s="32" t="n"/>
      <c r="B208" s="31" t="n"/>
      <c r="C208" s="31" t="n"/>
      <c r="D208" s="31" t="n"/>
      <c r="E208" s="31" t="n"/>
      <c r="F208" s="36" t="n"/>
      <c r="G208" s="35" t="n"/>
      <c r="H208" s="35" t="n"/>
      <c r="I208" s="48" t="n"/>
      <c r="J208" s="35" t="n"/>
      <c r="K208" s="31" t="n"/>
    </row>
    <row r="209">
      <c r="A209" s="30" t="n"/>
      <c r="B209" s="29" t="n"/>
      <c r="C209" s="29" t="n"/>
      <c r="D209" s="29" t="n"/>
      <c r="E209" s="29" t="n"/>
      <c r="F209" s="38" t="n"/>
      <c r="G209" s="37" t="n"/>
      <c r="H209" s="37" t="n"/>
      <c r="I209" s="49" t="n"/>
      <c r="J209" s="37" t="n"/>
      <c r="K209" s="29" t="n"/>
    </row>
    <row r="210">
      <c r="A210" s="32" t="n"/>
      <c r="B210" s="31" t="n"/>
      <c r="C210" s="31" t="n"/>
      <c r="D210" s="31" t="n"/>
      <c r="E210" s="31" t="n"/>
      <c r="F210" s="36" t="n"/>
      <c r="G210" s="35" t="n"/>
      <c r="H210" s="35" t="n"/>
      <c r="I210" s="48" t="n"/>
      <c r="J210" s="35" t="n"/>
      <c r="K210" s="31" t="n"/>
    </row>
    <row r="211">
      <c r="A211" s="30" t="n"/>
      <c r="B211" s="29" t="n"/>
      <c r="C211" s="29" t="n"/>
      <c r="D211" s="29" t="n"/>
      <c r="E211" s="29" t="n"/>
      <c r="F211" s="38" t="n"/>
      <c r="G211" s="37" t="n"/>
      <c r="H211" s="37" t="n"/>
      <c r="I211" s="49" t="n"/>
      <c r="J211" s="37" t="n"/>
      <c r="K211" s="29" t="n"/>
    </row>
    <row r="212">
      <c r="A212" s="32" t="n"/>
      <c r="B212" s="31" t="n"/>
      <c r="C212" s="31" t="n"/>
      <c r="D212" s="31" t="n"/>
      <c r="E212" s="31" t="n"/>
      <c r="F212" s="36" t="n"/>
      <c r="G212" s="35" t="n"/>
      <c r="H212" s="35" t="n"/>
      <c r="I212" s="48" t="n"/>
      <c r="J212" s="35" t="n"/>
      <c r="K212" s="31" t="n"/>
    </row>
    <row r="213">
      <c r="A213" s="30" t="n"/>
      <c r="B213" s="29" t="n"/>
      <c r="C213" s="29" t="n"/>
      <c r="D213" s="29" t="n"/>
      <c r="E213" s="29" t="n"/>
      <c r="F213" s="38" t="n"/>
      <c r="G213" s="37" t="n"/>
      <c r="H213" s="37" t="n"/>
      <c r="I213" s="49" t="n"/>
      <c r="J213" s="37" t="n"/>
      <c r="K213" s="29" t="n"/>
    </row>
    <row r="214">
      <c r="A214" s="32" t="n"/>
      <c r="B214" s="31" t="n"/>
      <c r="C214" s="31" t="n"/>
      <c r="D214" s="31" t="n"/>
      <c r="E214" s="31" t="n"/>
      <c r="F214" s="36" t="n"/>
      <c r="G214" s="35" t="n"/>
      <c r="H214" s="35" t="n"/>
      <c r="I214" s="48" t="n"/>
      <c r="J214" s="35" t="n"/>
      <c r="K214" s="31" t="n"/>
    </row>
    <row r="215">
      <c r="A215" s="30" t="n"/>
      <c r="B215" s="29" t="n"/>
      <c r="C215" s="29" t="n"/>
      <c r="D215" s="29" t="n"/>
      <c r="E215" s="29" t="n"/>
      <c r="F215" s="38" t="n"/>
      <c r="G215" s="37" t="n"/>
      <c r="H215" s="37" t="n"/>
      <c r="I215" s="49" t="n"/>
      <c r="J215" s="37" t="n"/>
      <c r="K215" s="29" t="n"/>
    </row>
    <row r="216">
      <c r="A216" s="32" t="n"/>
      <c r="B216" s="31" t="n"/>
      <c r="C216" s="31" t="n"/>
      <c r="D216" s="31" t="n"/>
      <c r="E216" s="31" t="n"/>
      <c r="F216" s="36" t="n"/>
      <c r="G216" s="35" t="n"/>
      <c r="H216" s="35" t="n"/>
      <c r="I216" s="48" t="n"/>
      <c r="J216" s="35" t="n"/>
      <c r="K216" s="31" t="n"/>
    </row>
    <row r="217">
      <c r="A217" s="30" t="n"/>
      <c r="B217" s="29" t="n"/>
      <c r="C217" s="29" t="n"/>
      <c r="D217" s="29" t="n"/>
      <c r="E217" s="29" t="n"/>
      <c r="F217" s="38" t="n"/>
      <c r="G217" s="37" t="n"/>
      <c r="H217" s="37" t="n"/>
      <c r="I217" s="49" t="n"/>
      <c r="J217" s="37" t="n"/>
      <c r="K217" s="29" t="n"/>
    </row>
    <row r="218">
      <c r="A218" s="32" t="n"/>
      <c r="B218" s="31" t="n"/>
      <c r="C218" s="31" t="n"/>
      <c r="D218" s="31" t="n"/>
      <c r="E218" s="31" t="n"/>
      <c r="F218" s="36" t="n"/>
      <c r="G218" s="35" t="n"/>
      <c r="H218" s="35" t="n"/>
      <c r="I218" s="48" t="n"/>
      <c r="J218" s="35" t="n"/>
      <c r="K218" s="31" t="n"/>
    </row>
    <row r="219">
      <c r="A219" s="30" t="n"/>
      <c r="B219" s="29" t="n"/>
      <c r="C219" s="29" t="n"/>
      <c r="D219" s="29" t="n"/>
      <c r="E219" s="29" t="n"/>
      <c r="F219" s="38" t="n"/>
      <c r="G219" s="37" t="n"/>
      <c r="H219" s="37" t="n"/>
      <c r="I219" s="49" t="n"/>
      <c r="J219" s="37" t="n"/>
      <c r="K219" s="29" t="n"/>
    </row>
    <row r="220">
      <c r="A220" s="32" t="n"/>
      <c r="B220" s="31" t="n"/>
      <c r="C220" s="31" t="n"/>
      <c r="D220" s="31" t="n"/>
      <c r="E220" s="31" t="n"/>
      <c r="F220" s="36" t="n"/>
      <c r="G220" s="35" t="n"/>
      <c r="H220" s="35" t="n"/>
      <c r="I220" s="48" t="n"/>
      <c r="J220" s="35" t="n"/>
      <c r="K220" s="31" t="n"/>
    </row>
    <row r="221">
      <c r="A221" s="30" t="n"/>
      <c r="B221" s="29" t="n"/>
      <c r="C221" s="29" t="n"/>
      <c r="D221" s="29" t="n"/>
      <c r="E221" s="29" t="n"/>
      <c r="F221" s="38" t="n"/>
      <c r="G221" s="37" t="n"/>
      <c r="H221" s="37" t="n"/>
      <c r="I221" s="49" t="n"/>
      <c r="J221" s="37" t="n"/>
      <c r="K221" s="29" t="n"/>
    </row>
    <row r="222">
      <c r="A222" s="32" t="n"/>
      <c r="B222" s="31" t="n"/>
      <c r="C222" s="31" t="n"/>
      <c r="D222" s="31" t="n"/>
      <c r="E222" s="31" t="n"/>
      <c r="F222" s="36" t="n"/>
      <c r="G222" s="35" t="n"/>
      <c r="H222" s="35" t="n"/>
      <c r="I222" s="48" t="n"/>
      <c r="J222" s="35" t="n"/>
      <c r="K222" s="31" t="n"/>
    </row>
    <row r="223">
      <c r="A223" s="30" t="n"/>
      <c r="B223" s="29" t="n"/>
      <c r="C223" s="29" t="n"/>
      <c r="D223" s="29" t="n"/>
      <c r="E223" s="29" t="n"/>
      <c r="F223" s="38" t="n"/>
      <c r="G223" s="37" t="n"/>
      <c r="H223" s="37" t="n"/>
      <c r="I223" s="49" t="n"/>
      <c r="J223" s="37" t="n"/>
      <c r="K223" s="29" t="n"/>
    </row>
    <row r="224">
      <c r="A224" s="32" t="n"/>
      <c r="B224" s="31" t="n"/>
      <c r="C224" s="31" t="n"/>
      <c r="D224" s="31" t="n"/>
      <c r="E224" s="31" t="n"/>
      <c r="F224" s="36" t="n"/>
      <c r="G224" s="35" t="n"/>
      <c r="H224" s="35" t="n"/>
      <c r="I224" s="48" t="n"/>
      <c r="J224" s="35" t="n"/>
      <c r="K224" s="31" t="n"/>
    </row>
    <row r="225">
      <c r="A225" s="30" t="n"/>
      <c r="B225" s="29" t="n"/>
      <c r="C225" s="29" t="n"/>
      <c r="D225" s="29" t="n"/>
      <c r="E225" s="29" t="n"/>
      <c r="F225" s="38" t="n"/>
      <c r="G225" s="37" t="n"/>
      <c r="H225" s="37" t="n"/>
      <c r="I225" s="49" t="n"/>
      <c r="J225" s="37" t="n"/>
      <c r="K225" s="29" t="n"/>
    </row>
    <row r="226">
      <c r="A226" s="32" t="n"/>
      <c r="B226" s="31" t="n"/>
      <c r="C226" s="31" t="n"/>
      <c r="D226" s="31" t="n"/>
      <c r="E226" s="31" t="n"/>
      <c r="F226" s="36" t="n"/>
      <c r="G226" s="35" t="n"/>
      <c r="H226" s="35" t="n"/>
      <c r="I226" s="48" t="n"/>
      <c r="J226" s="35" t="n"/>
      <c r="K226" s="31" t="n"/>
    </row>
    <row r="227">
      <c r="A227" s="30" t="n"/>
      <c r="B227" s="29" t="n"/>
      <c r="C227" s="29" t="n"/>
      <c r="D227" s="29" t="n"/>
      <c r="E227" s="29" t="n"/>
      <c r="F227" s="38" t="n"/>
      <c r="G227" s="37" t="n"/>
      <c r="H227" s="37" t="n"/>
      <c r="I227" s="49" t="n"/>
      <c r="J227" s="37" t="n"/>
      <c r="K227" s="29" t="n"/>
    </row>
    <row r="228">
      <c r="A228" s="32" t="n"/>
      <c r="B228" s="31" t="n"/>
      <c r="C228" s="31" t="n"/>
      <c r="D228" s="31" t="n"/>
      <c r="E228" s="31" t="n"/>
      <c r="F228" s="36" t="n"/>
      <c r="G228" s="35" t="n"/>
      <c r="H228" s="35" t="n"/>
      <c r="I228" s="48" t="n"/>
      <c r="J228" s="35" t="n"/>
      <c r="K228" s="31" t="n"/>
    </row>
    <row r="229">
      <c r="A229" s="30" t="n"/>
      <c r="B229" s="29" t="n"/>
      <c r="C229" s="29" t="n"/>
      <c r="D229" s="29" t="n"/>
      <c r="E229" s="29" t="n"/>
      <c r="F229" s="38" t="n"/>
      <c r="G229" s="37" t="n"/>
      <c r="H229" s="37" t="n"/>
      <c r="I229" s="49" t="n"/>
      <c r="J229" s="37" t="n"/>
      <c r="K229" s="29" t="n"/>
    </row>
    <row r="230">
      <c r="A230" s="32" t="n"/>
      <c r="B230" s="31" t="n"/>
      <c r="C230" s="31" t="n"/>
      <c r="D230" s="31" t="n"/>
      <c r="E230" s="31" t="n"/>
      <c r="F230" s="36" t="n"/>
      <c r="G230" s="35" t="n"/>
      <c r="H230" s="35" t="n"/>
      <c r="I230" s="48" t="n"/>
      <c r="J230" s="35" t="n"/>
      <c r="K230" s="31" t="n"/>
    </row>
    <row r="231">
      <c r="A231" s="30" t="n"/>
      <c r="B231" s="29" t="n"/>
      <c r="C231" s="29" t="n"/>
      <c r="D231" s="29" t="n"/>
      <c r="E231" s="29" t="n"/>
      <c r="F231" s="38" t="n"/>
      <c r="G231" s="37" t="n"/>
      <c r="H231" s="37" t="n"/>
      <c r="I231" s="49" t="n"/>
      <c r="J231" s="37" t="n"/>
      <c r="K231" s="29" t="n"/>
    </row>
    <row r="232">
      <c r="A232" s="32" t="n"/>
      <c r="B232" s="31" t="n"/>
      <c r="C232" s="31" t="n"/>
      <c r="D232" s="31" t="n"/>
      <c r="E232" s="31" t="n"/>
      <c r="F232" s="36" t="n"/>
      <c r="G232" s="35" t="n"/>
      <c r="H232" s="35" t="n"/>
      <c r="I232" s="48" t="n"/>
      <c r="J232" s="35" t="n"/>
      <c r="K232" s="31" t="n"/>
    </row>
    <row r="233">
      <c r="A233" s="30" t="n"/>
      <c r="B233" s="29" t="n"/>
      <c r="C233" s="29" t="n"/>
      <c r="D233" s="29" t="n"/>
      <c r="E233" s="29" t="n"/>
      <c r="F233" s="38" t="n"/>
      <c r="G233" s="37" t="n"/>
      <c r="H233" s="37" t="n"/>
      <c r="I233" s="49" t="n"/>
      <c r="J233" s="37" t="n"/>
      <c r="K233" s="29" t="n"/>
    </row>
    <row r="234">
      <c r="A234" s="32" t="n"/>
      <c r="B234" s="31" t="n"/>
      <c r="C234" s="31" t="n"/>
      <c r="D234" s="31" t="n"/>
      <c r="E234" s="31" t="n"/>
      <c r="F234" s="36" t="n"/>
      <c r="G234" s="35" t="n"/>
      <c r="H234" s="35" t="n"/>
      <c r="I234" s="48" t="n"/>
      <c r="J234" s="35" t="n"/>
      <c r="K234" s="31" t="n"/>
    </row>
    <row r="235">
      <c r="A235" s="30" t="n"/>
      <c r="B235" s="29" t="n"/>
      <c r="C235" s="29" t="n"/>
      <c r="D235" s="29" t="n"/>
      <c r="E235" s="29" t="n"/>
      <c r="F235" s="38" t="n"/>
      <c r="G235" s="37" t="n"/>
      <c r="H235" s="37" t="n"/>
      <c r="I235" s="49" t="n"/>
      <c r="J235" s="37" t="n"/>
      <c r="K235" s="29" t="n"/>
    </row>
    <row r="236">
      <c r="A236" s="32" t="n"/>
      <c r="B236" s="31" t="n"/>
      <c r="C236" s="31" t="n"/>
      <c r="D236" s="31" t="n"/>
      <c r="E236" s="31" t="n"/>
      <c r="F236" s="36" t="n"/>
      <c r="G236" s="35" t="n"/>
      <c r="H236" s="35" t="n"/>
      <c r="I236" s="48" t="n"/>
      <c r="J236" s="35" t="n"/>
      <c r="K236" s="31" t="n"/>
    </row>
    <row r="237">
      <c r="A237" s="30" t="n"/>
      <c r="B237" s="29" t="n"/>
      <c r="C237" s="29" t="n"/>
      <c r="D237" s="29" t="n"/>
      <c r="E237" s="29" t="n"/>
      <c r="F237" s="38" t="n"/>
      <c r="G237" s="37" t="n"/>
      <c r="H237" s="37" t="n"/>
      <c r="I237" s="49" t="n"/>
      <c r="J237" s="37" t="n"/>
      <c r="K237" s="29" t="n"/>
    </row>
    <row r="238">
      <c r="A238" s="32" t="n"/>
      <c r="B238" s="31" t="n"/>
      <c r="C238" s="31" t="n"/>
      <c r="D238" s="31" t="n"/>
      <c r="E238" s="31" t="n"/>
      <c r="F238" s="36" t="n"/>
      <c r="G238" s="35" t="n"/>
      <c r="H238" s="35" t="n"/>
      <c r="I238" s="48" t="n"/>
      <c r="J238" s="35" t="n"/>
      <c r="K238" s="31" t="n"/>
    </row>
    <row r="239">
      <c r="A239" s="30" t="n"/>
      <c r="B239" s="29" t="n"/>
      <c r="C239" s="29" t="n"/>
      <c r="D239" s="29" t="n"/>
      <c r="E239" s="29" t="n"/>
      <c r="F239" s="38" t="n"/>
      <c r="G239" s="37" t="n"/>
      <c r="H239" s="37" t="n"/>
      <c r="I239" s="49" t="n"/>
      <c r="J239" s="37" t="n"/>
      <c r="K239" s="29" t="n"/>
    </row>
    <row r="240">
      <c r="A240" s="32" t="n"/>
      <c r="B240" s="31" t="n"/>
      <c r="C240" s="31" t="n"/>
      <c r="D240" s="31" t="n"/>
      <c r="E240" s="31" t="n"/>
      <c r="F240" s="36" t="n"/>
      <c r="G240" s="35" t="n"/>
      <c r="H240" s="35" t="n"/>
      <c r="I240" s="48" t="n"/>
      <c r="J240" s="35" t="n"/>
      <c r="K240" s="31" t="n"/>
    </row>
    <row r="241">
      <c r="A241" s="30" t="n"/>
      <c r="B241" s="29" t="n"/>
      <c r="C241" s="29" t="n"/>
      <c r="D241" s="29" t="n"/>
      <c r="E241" s="29" t="n"/>
      <c r="F241" s="38" t="n"/>
      <c r="G241" s="37" t="n"/>
      <c r="H241" s="37" t="n"/>
      <c r="I241" s="49" t="n"/>
      <c r="J241" s="37" t="n"/>
      <c r="K241" s="29" t="n"/>
    </row>
    <row r="242">
      <c r="A242" s="32" t="n"/>
      <c r="B242" s="31" t="n"/>
      <c r="C242" s="31" t="n"/>
      <c r="D242" s="31" t="n"/>
      <c r="E242" s="31" t="n"/>
      <c r="F242" s="36" t="n"/>
      <c r="G242" s="35" t="n"/>
      <c r="H242" s="35" t="n"/>
      <c r="I242" s="48" t="n"/>
      <c r="J242" s="35" t="n"/>
      <c r="K242" s="31" t="n"/>
    </row>
    <row r="243">
      <c r="A243" s="30" t="n"/>
      <c r="B243" s="29" t="n"/>
      <c r="C243" s="29" t="n"/>
      <c r="D243" s="29" t="n"/>
      <c r="E243" s="29" t="n"/>
      <c r="F243" s="38" t="n"/>
      <c r="G243" s="37" t="n"/>
      <c r="H243" s="37" t="n"/>
      <c r="I243" s="49" t="n"/>
      <c r="J243" s="37" t="n"/>
      <c r="K243" s="29" t="n"/>
    </row>
    <row r="244">
      <c r="A244" s="32" t="n"/>
      <c r="B244" s="31" t="n"/>
      <c r="C244" s="31" t="n"/>
      <c r="D244" s="31" t="n"/>
      <c r="E244" s="31" t="n"/>
      <c r="F244" s="36" t="n"/>
      <c r="G244" s="35" t="n"/>
      <c r="H244" s="35" t="n"/>
      <c r="I244" s="48" t="n"/>
      <c r="J244" s="35" t="n"/>
      <c r="K244" s="31" t="n"/>
    </row>
    <row r="245">
      <c r="A245" s="30" t="n"/>
      <c r="B245" s="29" t="n"/>
      <c r="C245" s="29" t="n"/>
      <c r="D245" s="29" t="n"/>
      <c r="E245" s="29" t="n"/>
      <c r="F245" s="38" t="n"/>
      <c r="G245" s="37" t="n"/>
      <c r="H245" s="37" t="n"/>
      <c r="I245" s="49" t="n"/>
      <c r="J245" s="37" t="n"/>
      <c r="K245" s="29" t="n"/>
    </row>
    <row r="246">
      <c r="A246" s="32" t="n"/>
      <c r="B246" s="31" t="n"/>
      <c r="C246" s="31" t="n"/>
      <c r="D246" s="31" t="n"/>
      <c r="E246" s="31" t="n"/>
      <c r="F246" s="36" t="n"/>
      <c r="G246" s="35" t="n"/>
      <c r="H246" s="35" t="n"/>
      <c r="I246" s="48" t="n"/>
      <c r="J246" s="35" t="n"/>
      <c r="K246" s="31" t="n"/>
    </row>
    <row r="247">
      <c r="A247" s="30" t="n"/>
      <c r="B247" s="29" t="n"/>
      <c r="C247" s="29" t="n"/>
      <c r="D247" s="29" t="n"/>
      <c r="E247" s="29" t="n"/>
      <c r="F247" s="38" t="n"/>
      <c r="G247" s="37" t="n"/>
      <c r="H247" s="37" t="n"/>
      <c r="I247" s="49" t="n"/>
      <c r="J247" s="37" t="n"/>
      <c r="K247" s="29" t="n"/>
    </row>
    <row r="248">
      <c r="A248" s="32" t="n"/>
      <c r="B248" s="31" t="n"/>
      <c r="C248" s="31" t="n"/>
      <c r="D248" s="31" t="n"/>
      <c r="E248" s="31" t="n"/>
      <c r="F248" s="36" t="n"/>
      <c r="G248" s="35" t="n"/>
      <c r="H248" s="35" t="n"/>
      <c r="I248" s="48" t="n"/>
      <c r="J248" s="35" t="n"/>
      <c r="K248" s="31" t="n"/>
    </row>
    <row r="249">
      <c r="A249" s="30" t="n"/>
      <c r="B249" s="29" t="n"/>
      <c r="C249" s="29" t="n"/>
      <c r="D249" s="29" t="n"/>
      <c r="E249" s="29" t="n"/>
      <c r="F249" s="38" t="n"/>
      <c r="G249" s="37" t="n"/>
      <c r="H249" s="37" t="n"/>
      <c r="I249" s="49" t="n"/>
      <c r="J249" s="37" t="n"/>
      <c r="K249" s="29" t="n"/>
    </row>
    <row r="250">
      <c r="A250" s="32" t="n"/>
      <c r="B250" s="31" t="n"/>
      <c r="C250" s="31" t="n"/>
      <c r="D250" s="31" t="n"/>
      <c r="E250" s="31" t="n"/>
      <c r="F250" s="36" t="n"/>
      <c r="G250" s="35" t="n"/>
      <c r="H250" s="35" t="n"/>
      <c r="I250" s="48" t="n"/>
      <c r="J250" s="35" t="n"/>
      <c r="K250" s="31" t="n"/>
    </row>
    <row r="251">
      <c r="A251" s="30" t="n"/>
      <c r="B251" s="29" t="n"/>
      <c r="C251" s="29" t="n"/>
      <c r="D251" s="29" t="n"/>
      <c r="E251" s="29" t="n"/>
      <c r="F251" s="38" t="n"/>
      <c r="G251" s="37" t="n"/>
      <c r="H251" s="37" t="n"/>
      <c r="I251" s="49" t="n"/>
      <c r="J251" s="37" t="n"/>
      <c r="K251" s="29" t="n"/>
    </row>
    <row r="252">
      <c r="A252" s="32" t="n"/>
      <c r="B252" s="31" t="n"/>
      <c r="C252" s="31" t="n"/>
      <c r="D252" s="31" t="n"/>
      <c r="E252" s="31" t="n"/>
      <c r="F252" s="36" t="n"/>
      <c r="G252" s="35" t="n"/>
      <c r="H252" s="35" t="n"/>
      <c r="I252" s="48" t="n"/>
      <c r="J252" s="35" t="n"/>
      <c r="K252" s="31" t="n"/>
    </row>
    <row r="253">
      <c r="A253" s="30" t="n"/>
      <c r="B253" s="29" t="n"/>
      <c r="C253" s="29" t="n"/>
      <c r="D253" s="29" t="n"/>
      <c r="E253" s="29" t="n"/>
      <c r="F253" s="38" t="n"/>
      <c r="G253" s="37" t="n"/>
      <c r="H253" s="37" t="n"/>
      <c r="I253" s="49" t="n"/>
      <c r="J253" s="37" t="n"/>
      <c r="K253" s="29" t="n"/>
    </row>
    <row r="254">
      <c r="A254" s="32" t="n"/>
      <c r="B254" s="31" t="n"/>
      <c r="C254" s="31" t="n"/>
      <c r="D254" s="31" t="n"/>
      <c r="E254" s="31" t="n"/>
      <c r="F254" s="36" t="n"/>
      <c r="G254" s="35" t="n"/>
      <c r="H254" s="35" t="n"/>
      <c r="I254" s="48" t="n"/>
      <c r="J254" s="35" t="n"/>
      <c r="K254" s="31" t="n"/>
    </row>
    <row r="255">
      <c r="A255" s="30" t="n"/>
      <c r="B255" s="29" t="n"/>
      <c r="C255" s="29" t="n"/>
      <c r="D255" s="29" t="n"/>
      <c r="E255" s="29" t="n"/>
      <c r="F255" s="38" t="n"/>
      <c r="G255" s="37" t="n"/>
      <c r="H255" s="37" t="n"/>
      <c r="I255" s="49" t="n"/>
      <c r="J255" s="37" t="n"/>
      <c r="K255" s="29" t="n"/>
    </row>
    <row r="256">
      <c r="A256" s="32" t="n"/>
      <c r="B256" s="31" t="n"/>
      <c r="C256" s="31" t="n"/>
      <c r="D256" s="31" t="n"/>
      <c r="E256" s="31" t="n"/>
      <c r="F256" s="36" t="n"/>
      <c r="G256" s="35" t="n"/>
      <c r="H256" s="35" t="n"/>
      <c r="I256" s="48" t="n"/>
      <c r="J256" s="35" t="n"/>
      <c r="K256" s="31" t="n"/>
    </row>
    <row r="257">
      <c r="A257" s="30" t="n"/>
      <c r="B257" s="29" t="n"/>
      <c r="C257" s="29" t="n"/>
      <c r="D257" s="29" t="n"/>
      <c r="E257" s="29" t="n"/>
      <c r="F257" s="38" t="n"/>
      <c r="G257" s="37" t="n"/>
      <c r="H257" s="37" t="n"/>
      <c r="I257" s="49" t="n"/>
      <c r="J257" s="37" t="n"/>
      <c r="K257" s="29" t="n"/>
    </row>
    <row r="258">
      <c r="A258" s="32" t="n"/>
      <c r="B258" s="31" t="n"/>
      <c r="C258" s="31" t="n"/>
      <c r="D258" s="31" t="n"/>
      <c r="E258" s="31" t="n"/>
      <c r="F258" s="36" t="n"/>
      <c r="G258" s="35" t="n"/>
      <c r="H258" s="35" t="n"/>
      <c r="I258" s="48" t="n"/>
      <c r="J258" s="35" t="n"/>
      <c r="K258" s="31" t="n"/>
    </row>
    <row r="259">
      <c r="A259" s="30" t="n"/>
      <c r="B259" s="29" t="n"/>
      <c r="C259" s="29" t="n"/>
      <c r="D259" s="29" t="n"/>
      <c r="E259" s="29" t="n"/>
      <c r="F259" s="38" t="n"/>
      <c r="G259" s="37" t="n"/>
      <c r="H259" s="37" t="n"/>
      <c r="I259" s="49" t="n"/>
      <c r="J259" s="37" t="n"/>
      <c r="K259" s="29" t="n"/>
    </row>
    <row r="260">
      <c r="A260" s="32" t="n"/>
      <c r="B260" s="31" t="n"/>
      <c r="C260" s="31" t="n"/>
      <c r="D260" s="31" t="n"/>
      <c r="E260" s="31" t="n"/>
      <c r="F260" s="36" t="n"/>
      <c r="G260" s="35" t="n"/>
      <c r="H260" s="35" t="n"/>
      <c r="I260" s="48" t="n"/>
      <c r="J260" s="35" t="n"/>
      <c r="K260" s="31" t="n"/>
    </row>
    <row r="261">
      <c r="A261" s="30" t="n"/>
      <c r="B261" s="29" t="n"/>
      <c r="C261" s="29" t="n"/>
      <c r="D261" s="29" t="n"/>
      <c r="E261" s="29" t="n"/>
      <c r="F261" s="38" t="n"/>
      <c r="G261" s="37" t="n"/>
      <c r="H261" s="37" t="n"/>
      <c r="I261" s="49" t="n"/>
      <c r="J261" s="37" t="n"/>
      <c r="K261" s="29" t="n"/>
    </row>
    <row r="262">
      <c r="A262" s="32" t="n"/>
      <c r="B262" s="31" t="n"/>
      <c r="C262" s="31" t="n"/>
      <c r="D262" s="31" t="n"/>
      <c r="E262" s="31" t="n"/>
      <c r="F262" s="36" t="n"/>
      <c r="G262" s="35" t="n"/>
      <c r="H262" s="35" t="n"/>
      <c r="I262" s="48" t="n"/>
      <c r="J262" s="35" t="n"/>
      <c r="K262" s="31" t="n"/>
    </row>
    <row r="263">
      <c r="A263" s="30" t="n"/>
      <c r="B263" s="29" t="n"/>
      <c r="C263" s="29" t="n"/>
      <c r="D263" s="29" t="n"/>
      <c r="E263" s="29" t="n"/>
      <c r="F263" s="38" t="n"/>
      <c r="G263" s="37" t="n"/>
      <c r="H263" s="37" t="n"/>
      <c r="I263" s="49" t="n"/>
      <c r="J263" s="37" t="n"/>
      <c r="K263" s="29" t="n"/>
    </row>
    <row r="264">
      <c r="A264" s="32" t="n"/>
      <c r="B264" s="31" t="n"/>
      <c r="C264" s="31" t="n"/>
      <c r="D264" s="31" t="n"/>
      <c r="E264" s="31" t="n"/>
      <c r="F264" s="36" t="n"/>
      <c r="G264" s="35" t="n"/>
      <c r="H264" s="35" t="n"/>
      <c r="I264" s="48" t="n"/>
      <c r="J264" s="35" t="n"/>
      <c r="K264" s="31" t="n"/>
    </row>
    <row r="265">
      <c r="A265" s="30" t="n"/>
      <c r="B265" s="29" t="n"/>
      <c r="C265" s="29" t="n"/>
      <c r="D265" s="29" t="n"/>
      <c r="E265" s="29" t="n"/>
      <c r="F265" s="38" t="n"/>
      <c r="G265" s="37" t="n"/>
      <c r="H265" s="37" t="n"/>
      <c r="I265" s="49" t="n"/>
      <c r="J265" s="37" t="n"/>
      <c r="K265" s="29" t="n"/>
    </row>
    <row r="266">
      <c r="A266" s="32" t="n"/>
      <c r="B266" s="31" t="n"/>
      <c r="C266" s="31" t="n"/>
      <c r="D266" s="31" t="n"/>
      <c r="E266" s="31" t="n"/>
      <c r="F266" s="36" t="n"/>
      <c r="G266" s="35" t="n"/>
      <c r="H266" s="35" t="n"/>
      <c r="I266" s="48" t="n"/>
      <c r="J266" s="35" t="n"/>
      <c r="K266" s="31" t="n"/>
    </row>
    <row r="267">
      <c r="A267" s="30" t="n"/>
      <c r="B267" s="29" t="n"/>
      <c r="C267" s="29" t="n"/>
      <c r="D267" s="29" t="n"/>
      <c r="E267" s="29" t="n"/>
      <c r="F267" s="38" t="n"/>
      <c r="G267" s="37" t="n"/>
      <c r="H267" s="37" t="n"/>
      <c r="I267" s="49" t="n"/>
      <c r="J267" s="37" t="n"/>
      <c r="K267" s="29" t="n"/>
    </row>
    <row r="268">
      <c r="A268" s="32" t="n"/>
      <c r="B268" s="31" t="n"/>
      <c r="C268" s="31" t="n"/>
      <c r="D268" s="31" t="n"/>
      <c r="E268" s="31" t="n"/>
      <c r="F268" s="36" t="n"/>
      <c r="G268" s="35" t="n"/>
      <c r="H268" s="35" t="n"/>
      <c r="I268" s="48" t="n"/>
      <c r="J268" s="35" t="n"/>
      <c r="K268" s="31" t="n"/>
    </row>
    <row r="269">
      <c r="A269" s="30" t="n"/>
      <c r="B269" s="29" t="n"/>
      <c r="C269" s="29" t="n"/>
      <c r="D269" s="29" t="n"/>
      <c r="E269" s="29" t="n"/>
      <c r="F269" s="38" t="n"/>
      <c r="G269" s="37" t="n"/>
      <c r="H269" s="37" t="n"/>
      <c r="I269" s="49" t="n"/>
      <c r="J269" s="37" t="n"/>
      <c r="K269" s="29" t="n"/>
    </row>
    <row r="270">
      <c r="A270" s="32" t="n"/>
      <c r="B270" s="31" t="n"/>
      <c r="C270" s="31" t="n"/>
      <c r="D270" s="31" t="n"/>
      <c r="E270" s="31" t="n"/>
      <c r="F270" s="36" t="n"/>
      <c r="G270" s="35" t="n"/>
      <c r="H270" s="35" t="n"/>
      <c r="I270" s="48" t="n"/>
      <c r="J270" s="35" t="n"/>
      <c r="K270" s="31" t="n"/>
    </row>
    <row r="271">
      <c r="A271" s="30" t="n"/>
      <c r="B271" s="29" t="n"/>
      <c r="C271" s="29" t="n"/>
      <c r="D271" s="29" t="n"/>
      <c r="E271" s="29" t="n"/>
      <c r="F271" s="38" t="n"/>
      <c r="G271" s="37" t="n"/>
      <c r="H271" s="37" t="n"/>
      <c r="I271" s="49" t="n"/>
      <c r="J271" s="37" t="n"/>
      <c r="K271" s="29" t="n"/>
    </row>
    <row r="272">
      <c r="A272" s="32" t="n"/>
      <c r="B272" s="31" t="n"/>
      <c r="C272" s="31" t="n"/>
      <c r="D272" s="31" t="n"/>
      <c r="E272" s="31" t="n"/>
      <c r="F272" s="36" t="n"/>
      <c r="G272" s="35" t="n"/>
      <c r="H272" s="35" t="n"/>
      <c r="I272" s="48" t="n"/>
      <c r="J272" s="35" t="n"/>
      <c r="K272" s="31" t="n"/>
    </row>
    <row r="273">
      <c r="A273" s="30" t="n"/>
      <c r="B273" s="29" t="n"/>
      <c r="C273" s="29" t="n"/>
      <c r="D273" s="29" t="n"/>
      <c r="E273" s="29" t="n"/>
      <c r="F273" s="38" t="n"/>
      <c r="G273" s="37" t="n"/>
      <c r="H273" s="37" t="n"/>
      <c r="I273" s="49" t="n"/>
      <c r="J273" s="37" t="n"/>
      <c r="K273" s="29" t="n"/>
    </row>
    <row r="274">
      <c r="A274" s="32" t="n"/>
      <c r="B274" s="31" t="n"/>
      <c r="C274" s="31" t="n"/>
      <c r="D274" s="31" t="n"/>
      <c r="E274" s="31" t="n"/>
      <c r="F274" s="36" t="n"/>
      <c r="G274" s="35" t="n"/>
      <c r="H274" s="35" t="n"/>
      <c r="I274" s="48" t="n"/>
      <c r="J274" s="35" t="n"/>
      <c r="K274" s="31" t="n"/>
    </row>
    <row r="275">
      <c r="A275" s="30" t="n"/>
      <c r="B275" s="29" t="n"/>
      <c r="C275" s="29" t="n"/>
      <c r="D275" s="29" t="n"/>
      <c r="E275" s="29" t="n"/>
      <c r="F275" s="38" t="n"/>
      <c r="G275" s="37" t="n"/>
      <c r="H275" s="37" t="n"/>
      <c r="I275" s="49" t="n"/>
      <c r="J275" s="37" t="n"/>
      <c r="K275" s="29" t="n"/>
    </row>
    <row r="276">
      <c r="A276" s="32" t="n"/>
      <c r="B276" s="31" t="n"/>
      <c r="C276" s="31" t="n"/>
      <c r="D276" s="31" t="n"/>
      <c r="E276" s="31" t="n"/>
      <c r="F276" s="36" t="n"/>
      <c r="G276" s="35" t="n"/>
      <c r="H276" s="35" t="n"/>
      <c r="I276" s="48" t="n"/>
      <c r="J276" s="35" t="n"/>
      <c r="K276" s="31" t="n"/>
    </row>
    <row r="277">
      <c r="A277" s="30" t="n"/>
      <c r="B277" s="29" t="n"/>
      <c r="C277" s="29" t="n"/>
      <c r="D277" s="29" t="n"/>
      <c r="E277" s="29" t="n"/>
      <c r="F277" s="38" t="n"/>
      <c r="G277" s="37" t="n"/>
      <c r="H277" s="37" t="n"/>
      <c r="I277" s="49" t="n"/>
      <c r="J277" s="37" t="n"/>
      <c r="K277" s="29" t="n"/>
    </row>
    <row r="278">
      <c r="A278" s="32" t="n"/>
      <c r="B278" s="31" t="n"/>
      <c r="C278" s="31" t="n"/>
      <c r="D278" s="31" t="n"/>
      <c r="E278" s="31" t="n"/>
      <c r="F278" s="36" t="n"/>
      <c r="G278" s="35" t="n"/>
      <c r="H278" s="35" t="n"/>
      <c r="I278" s="48" t="n"/>
      <c r="J278" s="35" t="n"/>
      <c r="K278" s="31" t="n"/>
    </row>
    <row r="279">
      <c r="A279" s="30" t="n"/>
      <c r="B279" s="29" t="n"/>
      <c r="C279" s="29" t="n"/>
      <c r="D279" s="29" t="n"/>
      <c r="E279" s="29" t="n"/>
      <c r="F279" s="38" t="n"/>
      <c r="G279" s="37" t="n"/>
      <c r="H279" s="37" t="n"/>
      <c r="I279" s="49" t="n"/>
      <c r="J279" s="37" t="n"/>
      <c r="K279" s="29" t="n"/>
    </row>
    <row r="280">
      <c r="A280" s="32" t="n"/>
      <c r="B280" s="31" t="n"/>
      <c r="C280" s="31" t="n"/>
      <c r="D280" s="31" t="n"/>
      <c r="E280" s="31" t="n"/>
      <c r="F280" s="36" t="n"/>
      <c r="G280" s="35" t="n"/>
      <c r="H280" s="35" t="n"/>
      <c r="I280" s="48" t="n"/>
      <c r="J280" s="35" t="n"/>
      <c r="K280" s="31" t="n"/>
    </row>
    <row r="281">
      <c r="A281" s="30" t="n"/>
      <c r="B281" s="29" t="n"/>
      <c r="C281" s="29" t="n"/>
      <c r="D281" s="29" t="n"/>
      <c r="E281" s="29" t="n"/>
      <c r="F281" s="38" t="n"/>
      <c r="G281" s="37" t="n"/>
      <c r="H281" s="37" t="n"/>
      <c r="I281" s="49" t="n"/>
      <c r="J281" s="37" t="n"/>
      <c r="K281" s="29" t="n"/>
    </row>
    <row r="282">
      <c r="A282" s="32" t="n"/>
      <c r="B282" s="31" t="n"/>
      <c r="C282" s="31" t="n"/>
      <c r="D282" s="31" t="n"/>
      <c r="E282" s="31" t="n"/>
      <c r="F282" s="36" t="n"/>
      <c r="G282" s="35" t="n"/>
      <c r="H282" s="35" t="n"/>
      <c r="I282" s="48" t="n"/>
      <c r="J282" s="35" t="n"/>
      <c r="K282" s="31" t="n"/>
    </row>
    <row r="283">
      <c r="A283" s="30" t="n"/>
      <c r="B283" s="29" t="n"/>
      <c r="C283" s="29" t="n"/>
      <c r="D283" s="29" t="n"/>
      <c r="E283" s="29" t="n"/>
      <c r="F283" s="38" t="n"/>
      <c r="G283" s="37" t="n"/>
      <c r="H283" s="37" t="n"/>
      <c r="I283" s="49" t="n"/>
      <c r="J283" s="37" t="n"/>
      <c r="K283" s="29" t="n"/>
    </row>
    <row r="284">
      <c r="A284" s="32" t="n"/>
      <c r="B284" s="31" t="n"/>
      <c r="C284" s="31" t="n"/>
      <c r="D284" s="31" t="n"/>
      <c r="E284" s="31" t="n"/>
      <c r="F284" s="36" t="n"/>
      <c r="G284" s="35" t="n"/>
      <c r="H284" s="35" t="n"/>
      <c r="I284" s="48" t="n"/>
      <c r="J284" s="35" t="n"/>
      <c r="K284" s="31" t="n"/>
    </row>
    <row r="285">
      <c r="A285" s="30" t="n"/>
      <c r="B285" s="29" t="n"/>
      <c r="C285" s="29" t="n"/>
      <c r="D285" s="29" t="n"/>
      <c r="E285" s="29" t="n"/>
      <c r="F285" s="38" t="n"/>
      <c r="G285" s="37" t="n"/>
      <c r="H285" s="37" t="n"/>
      <c r="I285" s="49" t="n"/>
      <c r="J285" s="37" t="n"/>
      <c r="K285" s="29" t="n"/>
    </row>
    <row r="286">
      <c r="A286" s="32" t="n"/>
      <c r="B286" s="31" t="n"/>
      <c r="C286" s="31" t="n"/>
      <c r="D286" s="31" t="n"/>
      <c r="E286" s="31" t="n"/>
      <c r="F286" s="36" t="n"/>
      <c r="G286" s="35" t="n"/>
      <c r="H286" s="35" t="n"/>
      <c r="I286" s="48" t="n"/>
      <c r="J286" s="35" t="n"/>
      <c r="K286" s="31" t="n"/>
    </row>
    <row r="287">
      <c r="A287" s="30" t="n"/>
      <c r="B287" s="29" t="n"/>
      <c r="C287" s="29" t="n"/>
      <c r="D287" s="29" t="n"/>
      <c r="E287" s="29" t="n"/>
      <c r="F287" s="38" t="n"/>
      <c r="G287" s="37" t="n"/>
      <c r="H287" s="37" t="n"/>
      <c r="I287" s="49" t="n"/>
      <c r="J287" s="37" t="n"/>
      <c r="K287" s="29" t="n"/>
    </row>
    <row r="288">
      <c r="A288" s="32" t="n"/>
      <c r="B288" s="31" t="n"/>
      <c r="C288" s="31" t="n"/>
      <c r="D288" s="31" t="n"/>
      <c r="E288" s="31" t="n"/>
      <c r="F288" s="36" t="n"/>
      <c r="G288" s="35" t="n"/>
      <c r="H288" s="35" t="n"/>
      <c r="I288" s="48" t="n"/>
      <c r="J288" s="35" t="n"/>
      <c r="K288" s="31" t="n"/>
    </row>
    <row r="289">
      <c r="A289" s="30" t="n"/>
      <c r="B289" s="29" t="n"/>
      <c r="C289" s="29" t="n"/>
      <c r="D289" s="29" t="n"/>
      <c r="E289" s="29" t="n"/>
      <c r="F289" s="38" t="n"/>
      <c r="G289" s="37" t="n"/>
      <c r="H289" s="37" t="n"/>
      <c r="I289" s="49" t="n"/>
      <c r="J289" s="37" t="n"/>
      <c r="K289" s="29" t="n"/>
    </row>
    <row r="290">
      <c r="A290" s="32" t="n"/>
      <c r="B290" s="31" t="n"/>
      <c r="C290" s="31" t="n"/>
      <c r="D290" s="31" t="n"/>
      <c r="E290" s="31" t="n"/>
      <c r="F290" s="36" t="n"/>
      <c r="G290" s="35" t="n"/>
      <c r="H290" s="35" t="n"/>
      <c r="I290" s="48" t="n"/>
      <c r="J290" s="35" t="n"/>
      <c r="K290" s="31" t="n"/>
    </row>
    <row r="291">
      <c r="A291" s="30" t="n"/>
      <c r="B291" s="29" t="n"/>
      <c r="C291" s="29" t="n"/>
      <c r="D291" s="29" t="n"/>
      <c r="E291" s="29" t="n"/>
      <c r="F291" s="38" t="n"/>
      <c r="G291" s="37" t="n"/>
      <c r="H291" s="37" t="n"/>
      <c r="I291" s="49" t="n"/>
      <c r="J291" s="37" t="n"/>
      <c r="K291" s="29" t="n"/>
    </row>
    <row r="292">
      <c r="A292" s="32" t="n"/>
      <c r="B292" s="31" t="n"/>
      <c r="C292" s="31" t="n"/>
      <c r="D292" s="31" t="n"/>
      <c r="E292" s="31" t="n"/>
      <c r="F292" s="36" t="n"/>
      <c r="G292" s="35" t="n"/>
      <c r="H292" s="35" t="n"/>
      <c r="I292" s="48" t="n"/>
      <c r="J292" s="35" t="n"/>
      <c r="K292" s="31" t="n"/>
    </row>
    <row r="293">
      <c r="A293" s="30" t="n"/>
      <c r="B293" s="29" t="n"/>
      <c r="C293" s="29" t="n"/>
      <c r="D293" s="29" t="n"/>
      <c r="E293" s="29" t="n"/>
      <c r="F293" s="38" t="n"/>
      <c r="G293" s="37" t="n"/>
      <c r="H293" s="37" t="n"/>
      <c r="I293" s="49" t="n"/>
      <c r="J293" s="37" t="n"/>
      <c r="K293" s="29" t="n"/>
    </row>
    <row r="294">
      <c r="A294" s="32" t="n"/>
      <c r="B294" s="31" t="n"/>
      <c r="C294" s="31" t="n"/>
      <c r="D294" s="31" t="n"/>
      <c r="E294" s="31" t="n"/>
      <c r="F294" s="36" t="n"/>
      <c r="G294" s="35" t="n"/>
      <c r="H294" s="35" t="n"/>
      <c r="I294" s="48" t="n"/>
      <c r="J294" s="35" t="n"/>
      <c r="K294" s="31" t="n"/>
    </row>
    <row r="295">
      <c r="A295" s="30" t="n"/>
      <c r="B295" s="29" t="n"/>
      <c r="C295" s="29" t="n"/>
      <c r="D295" s="29" t="n"/>
      <c r="E295" s="29" t="n"/>
      <c r="F295" s="38" t="n"/>
      <c r="G295" s="37" t="n"/>
      <c r="H295" s="37" t="n"/>
      <c r="I295" s="49" t="n"/>
      <c r="J295" s="37" t="n"/>
      <c r="K295" s="29" t="n"/>
    </row>
    <row r="296">
      <c r="A296" s="32" t="n"/>
      <c r="B296" s="31" t="n"/>
      <c r="C296" s="31" t="n"/>
      <c r="D296" s="31" t="n"/>
      <c r="E296" s="31" t="n"/>
      <c r="F296" s="36" t="n"/>
      <c r="G296" s="35" t="n"/>
      <c r="H296" s="35" t="n"/>
      <c r="I296" s="48" t="n"/>
      <c r="J296" s="35" t="n"/>
      <c r="K296" s="31" t="n"/>
    </row>
    <row r="297">
      <c r="A297" s="30" t="n"/>
      <c r="B297" s="29" t="n"/>
      <c r="C297" s="29" t="n"/>
      <c r="D297" s="29" t="n"/>
      <c r="E297" s="29" t="n"/>
      <c r="F297" s="38" t="n"/>
      <c r="G297" s="37" t="n"/>
      <c r="H297" s="37" t="n"/>
      <c r="I297" s="49" t="n"/>
      <c r="J297" s="37" t="n"/>
      <c r="K297" s="29" t="n"/>
    </row>
    <row r="298">
      <c r="A298" s="32" t="n"/>
      <c r="B298" s="31" t="n"/>
      <c r="C298" s="31" t="n"/>
      <c r="D298" s="31" t="n"/>
      <c r="E298" s="31" t="n"/>
      <c r="F298" s="36" t="n"/>
      <c r="G298" s="35" t="n"/>
      <c r="H298" s="35" t="n"/>
      <c r="I298" s="48" t="n"/>
      <c r="J298" s="35" t="n"/>
      <c r="K298" s="31" t="n"/>
    </row>
    <row r="299">
      <c r="A299" s="30" t="n"/>
      <c r="B299" s="29" t="n"/>
      <c r="C299" s="29" t="n"/>
      <c r="D299" s="29" t="n"/>
      <c r="E299" s="29" t="n"/>
      <c r="F299" s="38" t="n"/>
      <c r="G299" s="37" t="n"/>
      <c r="H299" s="37" t="n"/>
      <c r="I299" s="49" t="n"/>
      <c r="J299" s="37" t="n"/>
      <c r="K299" s="29" t="n"/>
    </row>
    <row r="300">
      <c r="A300" s="32" t="n"/>
      <c r="B300" s="31" t="n"/>
      <c r="C300" s="31" t="n"/>
      <c r="D300" s="31" t="n"/>
      <c r="E300" s="31" t="n"/>
      <c r="F300" s="36" t="n"/>
      <c r="G300" s="35" t="n"/>
      <c r="H300" s="35" t="n"/>
      <c r="I300" s="48" t="n"/>
      <c r="J300" s="35" t="n"/>
      <c r="K300" s="31" t="n"/>
    </row>
    <row r="301">
      <c r="A301" s="30" t="n"/>
      <c r="B301" s="29" t="n"/>
      <c r="C301" s="29" t="n"/>
      <c r="D301" s="29" t="n"/>
      <c r="E301" s="29" t="n"/>
      <c r="F301" s="38" t="n"/>
      <c r="G301" s="37" t="n"/>
      <c r="H301" s="37" t="n"/>
      <c r="I301" s="49" t="n"/>
      <c r="J301" s="37" t="n"/>
      <c r="K301" s="29" t="n"/>
    </row>
    <row r="302">
      <c r="A302" s="32" t="n"/>
      <c r="B302" s="31" t="n"/>
      <c r="C302" s="31" t="n"/>
      <c r="D302" s="31" t="n"/>
      <c r="E302" s="31" t="n"/>
      <c r="F302" s="36" t="n"/>
      <c r="G302" s="35" t="n"/>
      <c r="H302" s="35" t="n"/>
      <c r="I302" s="48" t="n"/>
      <c r="J302" s="35" t="n"/>
      <c r="K302" s="31" t="n"/>
    </row>
    <row r="303">
      <c r="A303" s="30" t="n"/>
      <c r="B303" s="29" t="n"/>
      <c r="C303" s="29" t="n"/>
      <c r="D303" s="29" t="n"/>
      <c r="E303" s="29" t="n"/>
      <c r="F303" s="38" t="n"/>
      <c r="G303" s="37" t="n"/>
      <c r="H303" s="37" t="n"/>
      <c r="I303" s="49" t="n"/>
      <c r="J303" s="37" t="n"/>
      <c r="K303" s="29" t="n"/>
    </row>
    <row r="304">
      <c r="A304" s="32" t="n"/>
      <c r="B304" s="31" t="n"/>
      <c r="C304" s="31" t="n"/>
      <c r="D304" s="31" t="n"/>
      <c r="E304" s="31" t="n"/>
      <c r="F304" s="36" t="n"/>
      <c r="G304" s="35" t="n"/>
      <c r="H304" s="35" t="n"/>
      <c r="I304" s="48" t="n"/>
      <c r="J304" s="35" t="n"/>
      <c r="K304" s="31" t="n"/>
    </row>
    <row r="305">
      <c r="A305" s="30" t="n"/>
      <c r="B305" s="29" t="n"/>
      <c r="C305" s="29" t="n"/>
      <c r="D305" s="29" t="n"/>
      <c r="E305" s="29" t="n"/>
      <c r="F305" s="38" t="n"/>
      <c r="G305" s="37" t="n"/>
      <c r="H305" s="37" t="n"/>
      <c r="I305" s="49" t="n"/>
      <c r="J305" s="37" t="n"/>
      <c r="K305" s="29" t="n"/>
    </row>
    <row r="306">
      <c r="A306" s="32" t="n"/>
      <c r="B306" s="31" t="n"/>
      <c r="C306" s="31" t="n"/>
      <c r="D306" s="31" t="n"/>
      <c r="E306" s="31" t="n"/>
      <c r="F306" s="36" t="n"/>
      <c r="G306" s="35" t="n"/>
      <c r="H306" s="35" t="n"/>
      <c r="I306" s="48" t="n"/>
      <c r="J306" s="35" t="n"/>
      <c r="K306" s="31" t="n"/>
    </row>
    <row r="307">
      <c r="A307" s="30" t="n"/>
      <c r="B307" s="29" t="n"/>
      <c r="C307" s="29" t="n"/>
      <c r="D307" s="29" t="n"/>
      <c r="E307" s="29" t="n"/>
      <c r="F307" s="38" t="n"/>
      <c r="G307" s="37" t="n"/>
      <c r="H307" s="37" t="n"/>
      <c r="I307" s="49" t="n"/>
      <c r="J307" s="37" t="n"/>
      <c r="K307" s="29" t="n"/>
    </row>
    <row r="308">
      <c r="A308" s="32" t="n"/>
      <c r="B308" s="31" t="n"/>
      <c r="C308" s="31" t="n"/>
      <c r="D308" s="31" t="n"/>
      <c r="E308" s="31" t="n"/>
      <c r="F308" s="36" t="n"/>
      <c r="G308" s="35" t="n"/>
      <c r="H308" s="35" t="n"/>
      <c r="I308" s="48" t="n"/>
      <c r="J308" s="35" t="n"/>
      <c r="K308" s="31" t="n"/>
    </row>
    <row r="309">
      <c r="A309" s="30" t="n"/>
      <c r="B309" s="29" t="n"/>
      <c r="C309" s="29" t="n"/>
      <c r="D309" s="29" t="n"/>
      <c r="E309" s="29" t="n"/>
      <c r="F309" s="38" t="n"/>
      <c r="G309" s="37" t="n"/>
      <c r="H309" s="37" t="n"/>
      <c r="I309" s="49" t="n"/>
      <c r="J309" s="37" t="n"/>
      <c r="K309" s="29" t="n"/>
    </row>
    <row r="310">
      <c r="A310" s="32" t="n"/>
      <c r="B310" s="31" t="n"/>
      <c r="C310" s="31" t="n"/>
      <c r="D310" s="31" t="n"/>
      <c r="E310" s="31" t="n"/>
      <c r="F310" s="36" t="n"/>
      <c r="G310" s="35" t="n"/>
      <c r="H310" s="35" t="n"/>
      <c r="I310" s="48" t="n"/>
      <c r="J310" s="35" t="n"/>
      <c r="K310" s="31" t="n"/>
    </row>
    <row r="311">
      <c r="A311" s="30" t="n"/>
      <c r="B311" s="29" t="n"/>
      <c r="C311" s="29" t="n"/>
      <c r="D311" s="29" t="n"/>
      <c r="E311" s="29" t="n"/>
      <c r="F311" s="38" t="n"/>
      <c r="G311" s="37" t="n"/>
      <c r="H311" s="37" t="n"/>
      <c r="I311" s="49" t="n"/>
      <c r="J311" s="37" t="n"/>
      <c r="K311" s="29" t="n"/>
    </row>
    <row r="312">
      <c r="A312" s="32" t="n"/>
      <c r="B312" s="31" t="n"/>
      <c r="C312" s="31" t="n"/>
      <c r="D312" s="31" t="n"/>
      <c r="E312" s="31" t="n"/>
      <c r="F312" s="36" t="n"/>
      <c r="G312" s="35" t="n"/>
      <c r="H312" s="35" t="n"/>
      <c r="I312" s="48" t="n"/>
      <c r="J312" s="35" t="n"/>
      <c r="K312" s="31" t="n"/>
    </row>
    <row r="313">
      <c r="A313" s="30" t="n"/>
      <c r="B313" s="29" t="n"/>
      <c r="C313" s="29" t="n"/>
      <c r="D313" s="29" t="n"/>
      <c r="E313" s="29" t="n"/>
      <c r="F313" s="38" t="n"/>
      <c r="G313" s="37" t="n"/>
      <c r="H313" s="37" t="n"/>
      <c r="I313" s="49" t="n"/>
      <c r="J313" s="37" t="n"/>
      <c r="K313" s="29" t="n"/>
    </row>
    <row r="314">
      <c r="A314" s="32" t="n"/>
      <c r="B314" s="31" t="n"/>
      <c r="C314" s="31" t="n"/>
      <c r="D314" s="31" t="n"/>
      <c r="E314" s="31" t="n"/>
      <c r="F314" s="36" t="n"/>
      <c r="G314" s="35" t="n"/>
      <c r="H314" s="35" t="n"/>
      <c r="I314" s="48" t="n"/>
      <c r="J314" s="35" t="n"/>
      <c r="K314" s="31" t="n"/>
    </row>
    <row r="315">
      <c r="A315" s="30" t="n"/>
      <c r="B315" s="29" t="n"/>
      <c r="C315" s="29" t="n"/>
      <c r="D315" s="29" t="n"/>
      <c r="E315" s="29" t="n"/>
      <c r="F315" s="38" t="n"/>
      <c r="G315" s="37" t="n"/>
      <c r="H315" s="37" t="n"/>
      <c r="I315" s="49" t="n"/>
      <c r="J315" s="37" t="n"/>
      <c r="K315" s="29" t="n"/>
    </row>
    <row r="316">
      <c r="A316" s="32" t="n"/>
      <c r="B316" s="31" t="n"/>
      <c r="C316" s="31" t="n"/>
      <c r="D316" s="31" t="n"/>
      <c r="E316" s="31" t="n"/>
      <c r="F316" s="36" t="n"/>
      <c r="G316" s="35" t="n"/>
      <c r="H316" s="35" t="n"/>
      <c r="I316" s="48" t="n"/>
      <c r="J316" s="35" t="n"/>
      <c r="K316" s="31" t="n"/>
    </row>
    <row r="317">
      <c r="A317" s="30" t="n"/>
      <c r="B317" s="29" t="n"/>
      <c r="C317" s="29" t="n"/>
      <c r="D317" s="29" t="n"/>
      <c r="E317" s="29" t="n"/>
      <c r="F317" s="38" t="n"/>
      <c r="G317" s="37" t="n"/>
      <c r="H317" s="37" t="n"/>
      <c r="I317" s="49" t="n"/>
      <c r="J317" s="37" t="n"/>
      <c r="K317" s="29" t="n"/>
    </row>
    <row r="318">
      <c r="A318" s="32" t="n"/>
      <c r="B318" s="31" t="n"/>
      <c r="C318" s="31" t="n"/>
      <c r="D318" s="31" t="n"/>
      <c r="E318" s="31" t="n"/>
      <c r="F318" s="36" t="n"/>
      <c r="G318" s="35" t="n"/>
      <c r="H318" s="35" t="n"/>
      <c r="I318" s="48" t="n"/>
      <c r="J318" s="35" t="n"/>
      <c r="K318" s="31" t="n"/>
    </row>
    <row r="319">
      <c r="A319" s="30" t="n"/>
      <c r="B319" s="29" t="n"/>
      <c r="C319" s="29" t="n"/>
      <c r="D319" s="29" t="n"/>
      <c r="E319" s="29" t="n"/>
      <c r="F319" s="38" t="n"/>
      <c r="G319" s="37" t="n"/>
      <c r="H319" s="37" t="n"/>
      <c r="I319" s="49" t="n"/>
      <c r="J319" s="37" t="n"/>
      <c r="K319" s="29" t="n"/>
    </row>
    <row r="320">
      <c r="A320" s="32" t="n"/>
      <c r="B320" s="31" t="n"/>
      <c r="C320" s="31" t="n"/>
      <c r="D320" s="31" t="n"/>
      <c r="E320" s="31" t="n"/>
      <c r="F320" s="36" t="n"/>
      <c r="G320" s="35" t="n"/>
      <c r="H320" s="35" t="n"/>
      <c r="I320" s="48" t="n"/>
      <c r="J320" s="35" t="n"/>
      <c r="K320" s="31" t="n"/>
    </row>
    <row r="321">
      <c r="A321" s="30" t="n"/>
      <c r="B321" s="29" t="n"/>
      <c r="C321" s="29" t="n"/>
      <c r="D321" s="29" t="n"/>
      <c r="E321" s="29" t="n"/>
      <c r="F321" s="38" t="n"/>
      <c r="G321" s="37" t="n"/>
      <c r="H321" s="37" t="n"/>
      <c r="I321" s="49" t="n"/>
      <c r="J321" s="37" t="n"/>
      <c r="K321" s="29" t="n"/>
    </row>
    <row r="322">
      <c r="A322" s="32" t="n"/>
      <c r="B322" s="31" t="n"/>
      <c r="C322" s="31" t="n"/>
      <c r="D322" s="31" t="n"/>
      <c r="E322" s="31" t="n"/>
      <c r="F322" s="36" t="n"/>
      <c r="G322" s="35" t="n"/>
      <c r="H322" s="35" t="n"/>
      <c r="I322" s="48" t="n"/>
      <c r="J322" s="35" t="n"/>
      <c r="K322" s="31" t="n"/>
    </row>
    <row r="323">
      <c r="A323" s="30" t="n"/>
      <c r="B323" s="29" t="n"/>
      <c r="C323" s="29" t="n"/>
      <c r="D323" s="29" t="n"/>
      <c r="E323" s="29" t="n"/>
      <c r="F323" s="38" t="n"/>
      <c r="G323" s="37" t="n"/>
      <c r="H323" s="37" t="n"/>
      <c r="I323" s="49" t="n"/>
      <c r="J323" s="37" t="n"/>
      <c r="K323" s="29" t="n"/>
    </row>
    <row r="324">
      <c r="A324" s="32" t="n"/>
      <c r="B324" s="31" t="n"/>
      <c r="C324" s="31" t="n"/>
      <c r="D324" s="31" t="n"/>
      <c r="E324" s="31" t="n"/>
      <c r="F324" s="36" t="n"/>
      <c r="G324" s="35" t="n"/>
      <c r="H324" s="35" t="n"/>
      <c r="I324" s="48" t="n"/>
      <c r="J324" s="35" t="n"/>
      <c r="K324" s="31" t="n"/>
    </row>
    <row r="325">
      <c r="A325" s="30" t="n"/>
      <c r="B325" s="29" t="n"/>
      <c r="C325" s="29" t="n"/>
      <c r="D325" s="29" t="n"/>
      <c r="E325" s="29" t="n"/>
      <c r="F325" s="38" t="n"/>
      <c r="G325" s="37" t="n"/>
      <c r="H325" s="37" t="n"/>
      <c r="I325" s="49" t="n"/>
      <c r="J325" s="37" t="n"/>
      <c r="K325" s="29" t="n"/>
    </row>
    <row r="326">
      <c r="A326" s="32" t="n"/>
      <c r="B326" s="31" t="n"/>
      <c r="C326" s="31" t="n"/>
      <c r="D326" s="31" t="n"/>
      <c r="E326" s="31" t="n"/>
      <c r="F326" s="36" t="n"/>
      <c r="G326" s="35" t="n"/>
      <c r="H326" s="35" t="n"/>
      <c r="I326" s="48" t="n"/>
      <c r="J326" s="35" t="n"/>
      <c r="K326" s="31" t="n"/>
    </row>
    <row r="327">
      <c r="A327" s="30" t="n"/>
      <c r="B327" s="29" t="n"/>
      <c r="C327" s="29" t="n"/>
      <c r="D327" s="29" t="n"/>
      <c r="E327" s="29" t="n"/>
      <c r="F327" s="38" t="n"/>
      <c r="G327" s="37" t="n"/>
      <c r="H327" s="37" t="n"/>
      <c r="I327" s="49" t="n"/>
      <c r="J327" s="37" t="n"/>
      <c r="K327" s="29" t="n"/>
    </row>
    <row r="328">
      <c r="A328" s="32" t="n"/>
      <c r="B328" s="31" t="n"/>
      <c r="C328" s="31" t="n"/>
      <c r="D328" s="31" t="n"/>
      <c r="E328" s="31" t="n"/>
      <c r="F328" s="36" t="n"/>
      <c r="G328" s="35" t="n"/>
      <c r="H328" s="35" t="n"/>
      <c r="I328" s="48" t="n"/>
      <c r="J328" s="35" t="n"/>
      <c r="K328" s="31" t="n"/>
    </row>
    <row r="329">
      <c r="A329" s="30" t="n"/>
      <c r="B329" s="29" t="n"/>
      <c r="C329" s="29" t="n"/>
      <c r="D329" s="29" t="n"/>
      <c r="E329" s="29" t="n"/>
      <c r="F329" s="38" t="n"/>
      <c r="G329" s="37" t="n"/>
      <c r="H329" s="37" t="n"/>
      <c r="I329" s="49" t="n"/>
      <c r="J329" s="37" t="n"/>
      <c r="K329" s="29" t="n"/>
    </row>
    <row r="330">
      <c r="A330" s="32" t="n"/>
      <c r="B330" s="31" t="n"/>
      <c r="C330" s="31" t="n"/>
      <c r="D330" s="31" t="n"/>
      <c r="E330" s="31" t="n"/>
      <c r="F330" s="36" t="n"/>
      <c r="G330" s="35" t="n"/>
      <c r="H330" s="35" t="n"/>
      <c r="I330" s="48" t="n"/>
      <c r="J330" s="35" t="n"/>
      <c r="K330" s="31" t="n"/>
    </row>
    <row r="331">
      <c r="A331" s="30" t="n"/>
      <c r="B331" s="29" t="n"/>
      <c r="C331" s="29" t="n"/>
      <c r="D331" s="29" t="n"/>
      <c r="E331" s="29" t="n"/>
      <c r="F331" s="38" t="n"/>
      <c r="G331" s="37" t="n"/>
      <c r="H331" s="37" t="n"/>
      <c r="I331" s="49" t="n"/>
      <c r="J331" s="37" t="n"/>
      <c r="K331" s="29" t="n"/>
    </row>
    <row r="332">
      <c r="A332" s="32" t="n"/>
      <c r="B332" s="31" t="n"/>
      <c r="C332" s="31" t="n"/>
      <c r="D332" s="31" t="n"/>
      <c r="E332" s="31" t="n"/>
      <c r="F332" s="36" t="n"/>
      <c r="G332" s="35" t="n"/>
      <c r="H332" s="35" t="n"/>
      <c r="I332" s="48" t="n"/>
      <c r="J332" s="35" t="n"/>
      <c r="K332" s="31" t="n"/>
    </row>
    <row r="333">
      <c r="A333" s="30" t="n"/>
      <c r="B333" s="29" t="n"/>
      <c r="C333" s="29" t="n"/>
      <c r="D333" s="29" t="n"/>
      <c r="E333" s="29" t="n"/>
      <c r="F333" s="38" t="n"/>
      <c r="G333" s="37" t="n"/>
      <c r="H333" s="37" t="n"/>
      <c r="I333" s="49" t="n"/>
      <c r="J333" s="37" t="n"/>
      <c r="K333" s="29" t="n"/>
    </row>
    <row r="334">
      <c r="A334" s="32" t="n"/>
      <c r="B334" s="31" t="n"/>
      <c r="C334" s="31" t="n"/>
      <c r="D334" s="31" t="n"/>
      <c r="E334" s="31" t="n"/>
      <c r="F334" s="36" t="n"/>
      <c r="G334" s="35" t="n"/>
      <c r="H334" s="35" t="n"/>
      <c r="I334" s="48" t="n"/>
      <c r="J334" s="35" t="n"/>
      <c r="K334" s="31" t="n"/>
    </row>
    <row r="335">
      <c r="A335" s="30" t="n"/>
      <c r="B335" s="29" t="n"/>
      <c r="C335" s="29" t="n"/>
      <c r="D335" s="29" t="n"/>
      <c r="E335" s="29" t="n"/>
      <c r="F335" s="38" t="n"/>
      <c r="G335" s="37" t="n"/>
      <c r="H335" s="37" t="n"/>
      <c r="I335" s="49" t="n"/>
      <c r="J335" s="37" t="n"/>
      <c r="K335" s="29" t="n"/>
    </row>
    <row r="336">
      <c r="A336" s="32" t="n"/>
      <c r="B336" s="31" t="n"/>
      <c r="C336" s="31" t="n"/>
      <c r="D336" s="31" t="n"/>
      <c r="E336" s="31" t="n"/>
      <c r="F336" s="36" t="n"/>
      <c r="G336" s="35" t="n"/>
      <c r="H336" s="35" t="n"/>
      <c r="I336" s="48" t="n"/>
      <c r="J336" s="35" t="n"/>
      <c r="K336" s="31" t="n"/>
    </row>
    <row r="337">
      <c r="A337" s="30" t="n"/>
      <c r="B337" s="29" t="n"/>
      <c r="C337" s="29" t="n"/>
      <c r="D337" s="29" t="n"/>
      <c r="E337" s="29" t="n"/>
      <c r="F337" s="38" t="n"/>
      <c r="G337" s="37" t="n"/>
      <c r="H337" s="37" t="n"/>
      <c r="I337" s="49" t="n"/>
      <c r="J337" s="37" t="n"/>
      <c r="K337" s="29" t="n"/>
    </row>
    <row r="338">
      <c r="A338" s="32" t="n"/>
      <c r="B338" s="31" t="n"/>
      <c r="C338" s="31" t="n"/>
      <c r="D338" s="31" t="n"/>
      <c r="E338" s="31" t="n"/>
      <c r="F338" s="36" t="n"/>
      <c r="G338" s="35" t="n"/>
      <c r="H338" s="35" t="n"/>
      <c r="I338" s="48" t="n"/>
      <c r="J338" s="35" t="n"/>
      <c r="K338" s="31" t="n"/>
    </row>
    <row r="339">
      <c r="A339" s="30" t="n"/>
      <c r="B339" s="29" t="n"/>
      <c r="C339" s="29" t="n"/>
      <c r="D339" s="29" t="n"/>
      <c r="E339" s="29" t="n"/>
      <c r="F339" s="38" t="n"/>
      <c r="G339" s="37" t="n"/>
      <c r="H339" s="37" t="n"/>
      <c r="I339" s="49" t="n"/>
      <c r="J339" s="37" t="n"/>
      <c r="K339" s="29" t="n"/>
    </row>
    <row r="340">
      <c r="A340" s="32" t="n"/>
      <c r="B340" s="31" t="n"/>
      <c r="C340" s="31" t="n"/>
      <c r="D340" s="31" t="n"/>
      <c r="E340" s="31" t="n"/>
      <c r="F340" s="36" t="n"/>
      <c r="G340" s="35" t="n"/>
      <c r="H340" s="35" t="n"/>
      <c r="I340" s="48" t="n"/>
      <c r="J340" s="35" t="n"/>
      <c r="K340" s="31" t="n"/>
    </row>
    <row r="341">
      <c r="A341" s="30" t="n"/>
      <c r="B341" s="29" t="n"/>
      <c r="C341" s="29" t="n"/>
      <c r="D341" s="29" t="n"/>
      <c r="E341" s="29" t="n"/>
      <c r="F341" s="38" t="n"/>
      <c r="G341" s="37" t="n"/>
      <c r="H341" s="37" t="n"/>
      <c r="I341" s="49" t="n"/>
      <c r="J341" s="37" t="n"/>
      <c r="K341" s="29" t="n"/>
    </row>
    <row r="342">
      <c r="A342" s="32" t="n"/>
      <c r="B342" s="31" t="n"/>
      <c r="C342" s="31" t="n"/>
      <c r="D342" s="31" t="n"/>
      <c r="E342" s="31" t="n"/>
      <c r="F342" s="36" t="n"/>
      <c r="G342" s="35" t="n"/>
      <c r="H342" s="35" t="n"/>
      <c r="I342" s="48" t="n"/>
      <c r="J342" s="35" t="n"/>
      <c r="K342" s="31" t="n"/>
    </row>
    <row r="343">
      <c r="A343" s="30" t="n"/>
      <c r="B343" s="29" t="n"/>
      <c r="C343" s="29" t="n"/>
      <c r="D343" s="29" t="n"/>
      <c r="E343" s="29" t="n"/>
      <c r="F343" s="38" t="n"/>
      <c r="G343" s="37" t="n"/>
      <c r="H343" s="37" t="n"/>
      <c r="I343" s="49" t="n"/>
      <c r="J343" s="37" t="n"/>
      <c r="K343" s="29" t="n"/>
    </row>
    <row r="344">
      <c r="A344" s="32" t="n"/>
      <c r="B344" s="31" t="n"/>
      <c r="C344" s="31" t="n"/>
      <c r="D344" s="31" t="n"/>
      <c r="E344" s="31" t="n"/>
      <c r="F344" s="36" t="n"/>
      <c r="G344" s="35" t="n"/>
      <c r="H344" s="35" t="n"/>
      <c r="I344" s="48" t="n"/>
      <c r="J344" s="35" t="n"/>
      <c r="K344" s="31" t="n"/>
    </row>
    <row r="345">
      <c r="A345" s="30" t="n"/>
      <c r="B345" s="29" t="n"/>
      <c r="C345" s="29" t="n"/>
      <c r="D345" s="29" t="n"/>
      <c r="E345" s="29" t="n"/>
      <c r="F345" s="38" t="n"/>
      <c r="G345" s="37" t="n"/>
      <c r="H345" s="37" t="n"/>
      <c r="I345" s="49" t="n"/>
      <c r="J345" s="37" t="n"/>
      <c r="K345" s="29" t="n"/>
    </row>
    <row r="346">
      <c r="A346" s="32" t="n"/>
      <c r="B346" s="31" t="n"/>
      <c r="C346" s="31" t="n"/>
      <c r="D346" s="31" t="n"/>
      <c r="E346" s="31" t="n"/>
      <c r="F346" s="36" t="n"/>
      <c r="G346" s="35" t="n"/>
      <c r="H346" s="35" t="n"/>
      <c r="I346" s="48" t="n"/>
      <c r="J346" s="35" t="n"/>
      <c r="K346" s="31" t="n"/>
    </row>
    <row r="347">
      <c r="A347" s="30" t="n"/>
      <c r="B347" s="29" t="n"/>
      <c r="C347" s="29" t="n"/>
      <c r="D347" s="29" t="n"/>
      <c r="E347" s="29" t="n"/>
      <c r="F347" s="38" t="n"/>
      <c r="G347" s="37" t="n"/>
      <c r="H347" s="37" t="n"/>
      <c r="I347" s="49" t="n"/>
      <c r="J347" s="37" t="n"/>
      <c r="K347" s="29" t="n"/>
    </row>
    <row r="348">
      <c r="A348" s="32" t="n"/>
      <c r="B348" s="31" t="n"/>
      <c r="C348" s="31" t="n"/>
      <c r="D348" s="31" t="n"/>
      <c r="E348" s="31" t="n"/>
      <c r="F348" s="36" t="n"/>
      <c r="G348" s="35" t="n"/>
      <c r="H348" s="35" t="n"/>
      <c r="I348" s="48" t="n"/>
      <c r="J348" s="35" t="n"/>
      <c r="K348" s="31" t="n"/>
    </row>
    <row r="349">
      <c r="A349" s="30" t="n"/>
      <c r="B349" s="29" t="n"/>
      <c r="C349" s="29" t="n"/>
      <c r="D349" s="29" t="n"/>
      <c r="E349" s="29" t="n"/>
      <c r="F349" s="38" t="n"/>
      <c r="G349" s="37" t="n"/>
      <c r="H349" s="37" t="n"/>
      <c r="I349" s="49" t="n"/>
      <c r="J349" s="37" t="n"/>
      <c r="K349" s="29" t="n"/>
    </row>
    <row r="350">
      <c r="A350" s="32" t="n"/>
      <c r="B350" s="31" t="n"/>
      <c r="C350" s="31" t="n"/>
      <c r="D350" s="31" t="n"/>
      <c r="E350" s="31" t="n"/>
      <c r="F350" s="36" t="n"/>
      <c r="G350" s="35" t="n"/>
      <c r="H350" s="35" t="n"/>
      <c r="I350" s="48" t="n"/>
      <c r="J350" s="35" t="n"/>
      <c r="K350" s="31" t="n"/>
    </row>
    <row r="351">
      <c r="A351" s="30" t="n"/>
      <c r="B351" s="29" t="n"/>
      <c r="C351" s="29" t="n"/>
      <c r="D351" s="29" t="n"/>
      <c r="E351" s="29" t="n"/>
      <c r="F351" s="38" t="n"/>
      <c r="G351" s="37" t="n"/>
      <c r="H351" s="37" t="n"/>
      <c r="I351" s="49" t="n"/>
      <c r="J351" s="37" t="n"/>
      <c r="K351" s="29" t="n"/>
    </row>
    <row r="352">
      <c r="A352" s="32" t="n"/>
      <c r="B352" s="31" t="n"/>
      <c r="C352" s="31" t="n"/>
      <c r="D352" s="31" t="n"/>
      <c r="E352" s="31" t="n"/>
      <c r="F352" s="36" t="n"/>
      <c r="G352" s="35" t="n"/>
      <c r="H352" s="35" t="n"/>
      <c r="I352" s="48" t="n"/>
      <c r="J352" s="35" t="n"/>
      <c r="K352" s="31" t="n"/>
    </row>
    <row r="353">
      <c r="A353" s="30" t="n"/>
      <c r="B353" s="29" t="n"/>
      <c r="C353" s="29" t="n"/>
      <c r="D353" s="29" t="n"/>
      <c r="E353" s="29" t="n"/>
      <c r="F353" s="38" t="n"/>
      <c r="G353" s="37" t="n"/>
      <c r="H353" s="37" t="n"/>
      <c r="I353" s="49" t="n"/>
      <c r="J353" s="37" t="n"/>
      <c r="K353" s="29" t="n"/>
    </row>
    <row r="354">
      <c r="A354" s="32" t="n"/>
      <c r="B354" s="31" t="n"/>
      <c r="C354" s="31" t="n"/>
      <c r="D354" s="31" t="n"/>
      <c r="E354" s="31" t="n"/>
      <c r="F354" s="36" t="n"/>
      <c r="G354" s="35" t="n"/>
      <c r="H354" s="35" t="n"/>
      <c r="I354" s="48" t="n"/>
      <c r="J354" s="35" t="n"/>
      <c r="K354" s="31" t="n"/>
    </row>
    <row r="355">
      <c r="A355" s="30" t="n"/>
      <c r="B355" s="29" t="n"/>
      <c r="C355" s="29" t="n"/>
      <c r="D355" s="29" t="n"/>
      <c r="E355" s="29" t="n"/>
      <c r="F355" s="38" t="n"/>
      <c r="G355" s="37" t="n"/>
      <c r="H355" s="37" t="n"/>
      <c r="I355" s="49" t="n"/>
      <c r="J355" s="37" t="n"/>
      <c r="K355" s="29" t="n"/>
    </row>
    <row r="356">
      <c r="A356" s="32" t="n"/>
      <c r="B356" s="31" t="n"/>
      <c r="C356" s="31" t="n"/>
      <c r="D356" s="31" t="n"/>
      <c r="E356" s="31" t="n"/>
      <c r="F356" s="36" t="n"/>
      <c r="G356" s="35" t="n"/>
      <c r="H356" s="35" t="n"/>
      <c r="I356" s="48" t="n"/>
      <c r="J356" s="35" t="n"/>
      <c r="K356" s="31" t="n"/>
    </row>
    <row r="357">
      <c r="A357" s="30" t="n"/>
      <c r="B357" s="29" t="n"/>
      <c r="C357" s="29" t="n"/>
      <c r="D357" s="29" t="n"/>
      <c r="E357" s="29" t="n"/>
      <c r="F357" s="38" t="n"/>
      <c r="G357" s="37" t="n"/>
      <c r="H357" s="37" t="n"/>
      <c r="I357" s="49" t="n"/>
      <c r="J357" s="37" t="n"/>
      <c r="K357" s="29" t="n"/>
    </row>
    <row r="358">
      <c r="A358" s="32" t="n"/>
      <c r="B358" s="31" t="n"/>
      <c r="C358" s="31" t="n"/>
      <c r="D358" s="31" t="n"/>
      <c r="E358" s="31" t="n"/>
      <c r="F358" s="36" t="n"/>
      <c r="G358" s="35" t="n"/>
      <c r="H358" s="35" t="n"/>
      <c r="I358" s="48" t="n"/>
      <c r="J358" s="35" t="n"/>
      <c r="K358" s="31" t="n"/>
    </row>
    <row r="359">
      <c r="A359" s="30" t="n"/>
      <c r="B359" s="29" t="n"/>
      <c r="C359" s="29" t="n"/>
      <c r="D359" s="29" t="n"/>
      <c r="E359" s="29" t="n"/>
      <c r="F359" s="38" t="n"/>
      <c r="G359" s="37" t="n"/>
      <c r="H359" s="37" t="n"/>
      <c r="I359" s="49" t="n"/>
      <c r="J359" s="37" t="n"/>
      <c r="K359" s="29" t="n"/>
    </row>
    <row r="360">
      <c r="A360" s="32" t="n"/>
      <c r="B360" s="31" t="n"/>
      <c r="C360" s="31" t="n"/>
      <c r="D360" s="31" t="n"/>
      <c r="E360" s="31" t="n"/>
      <c r="F360" s="36" t="n"/>
      <c r="G360" s="35" t="n"/>
      <c r="H360" s="35" t="n"/>
      <c r="I360" s="48" t="n"/>
      <c r="J360" s="35" t="n"/>
      <c r="K360" s="31" t="n"/>
    </row>
    <row r="361">
      <c r="A361" s="30" t="n"/>
      <c r="B361" s="29" t="n"/>
      <c r="C361" s="29" t="n"/>
      <c r="D361" s="29" t="n"/>
      <c r="E361" s="29" t="n"/>
      <c r="F361" s="38" t="n"/>
      <c r="G361" s="37" t="n"/>
      <c r="H361" s="37" t="n"/>
      <c r="I361" s="49" t="n"/>
      <c r="J361" s="37" t="n"/>
      <c r="K361" s="29" t="n"/>
    </row>
    <row r="362">
      <c r="A362" s="32" t="n"/>
      <c r="B362" s="31" t="n"/>
      <c r="C362" s="31" t="n"/>
      <c r="D362" s="31" t="n"/>
      <c r="E362" s="31" t="n"/>
      <c r="F362" s="36" t="n"/>
      <c r="G362" s="35" t="n"/>
      <c r="H362" s="35" t="n"/>
      <c r="I362" s="48" t="n"/>
      <c r="J362" s="35" t="n"/>
      <c r="K362" s="31" t="n"/>
    </row>
    <row r="363">
      <c r="A363" s="30" t="n"/>
      <c r="B363" s="29" t="n"/>
      <c r="C363" s="29" t="n"/>
      <c r="D363" s="29" t="n"/>
      <c r="E363" s="29" t="n"/>
      <c r="F363" s="38" t="n"/>
      <c r="G363" s="37" t="n"/>
      <c r="H363" s="37" t="n"/>
      <c r="I363" s="49" t="n"/>
      <c r="J363" s="37" t="n"/>
      <c r="K363" s="29" t="n"/>
    </row>
    <row r="364">
      <c r="A364" s="32" t="n"/>
      <c r="B364" s="31" t="n"/>
      <c r="C364" s="31" t="n"/>
      <c r="D364" s="31" t="n"/>
      <c r="E364" s="31" t="n"/>
      <c r="F364" s="36" t="n"/>
      <c r="G364" s="35" t="n"/>
      <c r="H364" s="35" t="n"/>
      <c r="I364" s="48" t="n"/>
      <c r="J364" s="35" t="n"/>
      <c r="K364" s="31" t="n"/>
    </row>
    <row r="365">
      <c r="A365" s="30" t="n"/>
      <c r="B365" s="29" t="n"/>
      <c r="C365" s="29" t="n"/>
      <c r="D365" s="29" t="n"/>
      <c r="E365" s="29" t="n"/>
      <c r="F365" s="38" t="n"/>
      <c r="G365" s="37" t="n"/>
      <c r="H365" s="37" t="n"/>
      <c r="I365" s="49" t="n"/>
      <c r="J365" s="37" t="n"/>
      <c r="K365" s="29" t="n"/>
    </row>
    <row r="366">
      <c r="A366" s="32" t="n"/>
      <c r="B366" s="31" t="n"/>
      <c r="C366" s="31" t="n"/>
      <c r="D366" s="31" t="n"/>
      <c r="E366" s="31" t="n"/>
      <c r="F366" s="36" t="n"/>
      <c r="G366" s="35" t="n"/>
      <c r="H366" s="35" t="n"/>
      <c r="I366" s="48" t="n"/>
      <c r="J366" s="35" t="n"/>
      <c r="K366" s="31" t="n"/>
    </row>
    <row r="367">
      <c r="A367" s="30" t="n"/>
      <c r="B367" s="29" t="n"/>
      <c r="C367" s="29" t="n"/>
      <c r="D367" s="29" t="n"/>
      <c r="E367" s="29" t="n"/>
      <c r="F367" s="38" t="n"/>
      <c r="G367" s="37" t="n"/>
      <c r="H367" s="37" t="n"/>
      <c r="I367" s="49" t="n"/>
      <c r="J367" s="37" t="n"/>
      <c r="K367" s="29" t="n"/>
    </row>
    <row r="368">
      <c r="A368" s="32" t="n"/>
      <c r="B368" s="31" t="n"/>
      <c r="C368" s="31" t="n"/>
      <c r="D368" s="31" t="n"/>
      <c r="E368" s="31" t="n"/>
      <c r="F368" s="36" t="n"/>
      <c r="G368" s="35" t="n"/>
      <c r="H368" s="35" t="n"/>
      <c r="I368" s="48" t="n"/>
      <c r="J368" s="35" t="n"/>
      <c r="K368" s="31" t="n"/>
    </row>
    <row r="369">
      <c r="A369" s="30" t="n"/>
      <c r="B369" s="29" t="n"/>
      <c r="C369" s="29" t="n"/>
      <c r="D369" s="29" t="n"/>
      <c r="E369" s="29" t="n"/>
      <c r="F369" s="38" t="n"/>
      <c r="G369" s="37" t="n"/>
      <c r="H369" s="37" t="n"/>
      <c r="I369" s="49" t="n"/>
      <c r="J369" s="37" t="n"/>
      <c r="K369" s="29" t="n"/>
    </row>
    <row r="370">
      <c r="A370" s="32" t="n"/>
      <c r="B370" s="31" t="n"/>
      <c r="C370" s="31" t="n"/>
      <c r="D370" s="31" t="n"/>
      <c r="E370" s="31" t="n"/>
      <c r="F370" s="36" t="n"/>
      <c r="G370" s="35" t="n"/>
      <c r="H370" s="35" t="n"/>
      <c r="I370" s="48" t="n"/>
      <c r="J370" s="35" t="n"/>
      <c r="K370" s="31" t="n"/>
    </row>
    <row r="371">
      <c r="A371" s="30" t="n"/>
      <c r="B371" s="29" t="n"/>
      <c r="C371" s="29" t="n"/>
      <c r="D371" s="29" t="n"/>
      <c r="E371" s="29" t="n"/>
      <c r="F371" s="38" t="n"/>
      <c r="G371" s="37" t="n"/>
      <c r="H371" s="37" t="n"/>
      <c r="I371" s="49" t="n"/>
      <c r="J371" s="37" t="n"/>
      <c r="K371" s="29" t="n"/>
    </row>
    <row r="372">
      <c r="A372" s="32" t="n"/>
      <c r="B372" s="31" t="n"/>
      <c r="C372" s="31" t="n"/>
      <c r="D372" s="31" t="n"/>
      <c r="E372" s="31" t="n"/>
      <c r="F372" s="36" t="n"/>
      <c r="G372" s="35" t="n"/>
      <c r="H372" s="35" t="n"/>
      <c r="I372" s="48" t="n"/>
      <c r="J372" s="35" t="n"/>
      <c r="K372" s="31" t="n"/>
    </row>
    <row r="373">
      <c r="A373" s="30" t="n"/>
      <c r="B373" s="29" t="n"/>
      <c r="C373" s="29" t="n"/>
      <c r="D373" s="29" t="n"/>
      <c r="E373" s="29" t="n"/>
      <c r="F373" s="38" t="n"/>
      <c r="G373" s="37" t="n"/>
      <c r="H373" s="37" t="n"/>
      <c r="I373" s="49" t="n"/>
      <c r="J373" s="37" t="n"/>
      <c r="K373" s="29" t="n"/>
    </row>
    <row r="374">
      <c r="A374" s="32" t="n"/>
      <c r="B374" s="31" t="n"/>
      <c r="C374" s="31" t="n"/>
      <c r="D374" s="31" t="n"/>
      <c r="E374" s="31" t="n"/>
      <c r="F374" s="36" t="n"/>
      <c r="G374" s="35" t="n"/>
      <c r="H374" s="35" t="n"/>
      <c r="I374" s="48" t="n"/>
      <c r="J374" s="35" t="n"/>
      <c r="K374" s="31" t="n"/>
    </row>
    <row r="375">
      <c r="A375" s="30" t="n"/>
      <c r="B375" s="29" t="n"/>
      <c r="C375" s="29" t="n"/>
      <c r="D375" s="29" t="n"/>
      <c r="E375" s="29" t="n"/>
      <c r="F375" s="38" t="n"/>
      <c r="G375" s="37" t="n"/>
      <c r="H375" s="37" t="n"/>
      <c r="I375" s="49" t="n"/>
      <c r="J375" s="37" t="n"/>
      <c r="K375" s="29" t="n"/>
    </row>
    <row r="376">
      <c r="A376" s="32" t="n"/>
      <c r="B376" s="31" t="n"/>
      <c r="C376" s="31" t="n"/>
      <c r="D376" s="31" t="n"/>
      <c r="E376" s="31" t="n"/>
      <c r="F376" s="36" t="n"/>
      <c r="G376" s="35" t="n"/>
      <c r="H376" s="35" t="n"/>
      <c r="I376" s="48" t="n"/>
      <c r="J376" s="35" t="n"/>
      <c r="K376" s="31" t="n"/>
    </row>
    <row r="377">
      <c r="A377" s="30" t="n"/>
      <c r="B377" s="29" t="n"/>
      <c r="C377" s="29" t="n"/>
      <c r="D377" s="29" t="n"/>
      <c r="E377" s="29" t="n"/>
      <c r="F377" s="38" t="n"/>
      <c r="G377" s="37" t="n"/>
      <c r="H377" s="37" t="n"/>
      <c r="I377" s="49" t="n"/>
      <c r="J377" s="37" t="n"/>
      <c r="K377" s="29" t="n"/>
    </row>
    <row r="378">
      <c r="A378" s="32" t="n"/>
      <c r="B378" s="31" t="n"/>
      <c r="C378" s="31" t="n"/>
      <c r="D378" s="31" t="n"/>
      <c r="E378" s="31" t="n"/>
      <c r="F378" s="36" t="n"/>
      <c r="G378" s="35" t="n"/>
      <c r="H378" s="35" t="n"/>
      <c r="I378" s="48" t="n"/>
      <c r="J378" s="35" t="n"/>
      <c r="K378" s="31" t="n"/>
    </row>
    <row r="379">
      <c r="A379" s="30" t="n"/>
      <c r="B379" s="29" t="n"/>
      <c r="C379" s="29" t="n"/>
      <c r="D379" s="29" t="n"/>
      <c r="E379" s="29" t="n"/>
      <c r="F379" s="38" t="n"/>
      <c r="G379" s="37" t="n"/>
      <c r="H379" s="37" t="n"/>
      <c r="I379" s="49" t="n"/>
      <c r="J379" s="37" t="n"/>
      <c r="K379" s="29" t="n"/>
    </row>
    <row r="380">
      <c r="A380" s="32" t="n"/>
      <c r="B380" s="31" t="n"/>
      <c r="C380" s="31" t="n"/>
      <c r="D380" s="31" t="n"/>
      <c r="E380" s="31" t="n"/>
      <c r="F380" s="36" t="n"/>
      <c r="G380" s="35" t="n"/>
      <c r="H380" s="35" t="n"/>
      <c r="I380" s="48" t="n"/>
      <c r="J380" s="35" t="n"/>
      <c r="K380" s="31" t="n"/>
    </row>
    <row r="381">
      <c r="A381" s="30" t="n"/>
      <c r="B381" s="29" t="n"/>
      <c r="C381" s="29" t="n"/>
      <c r="D381" s="29" t="n"/>
      <c r="E381" s="29" t="n"/>
      <c r="F381" s="38" t="n"/>
      <c r="G381" s="37" t="n"/>
      <c r="H381" s="37" t="n"/>
      <c r="I381" s="49" t="n"/>
      <c r="J381" s="37" t="n"/>
      <c r="K381" s="29" t="n"/>
    </row>
    <row r="382">
      <c r="A382" s="32" t="n"/>
      <c r="B382" s="31" t="n"/>
      <c r="C382" s="31" t="n"/>
      <c r="D382" s="31" t="n"/>
      <c r="E382" s="31" t="n"/>
      <c r="F382" s="36" t="n"/>
      <c r="G382" s="35" t="n"/>
      <c r="H382" s="35" t="n"/>
      <c r="I382" s="48" t="n"/>
      <c r="J382" s="35" t="n"/>
      <c r="K382" s="31" t="n"/>
    </row>
    <row r="383">
      <c r="A383" s="30" t="n"/>
      <c r="B383" s="29" t="n"/>
      <c r="C383" s="29" t="n"/>
      <c r="D383" s="29" t="n"/>
      <c r="E383" s="29" t="n"/>
      <c r="F383" s="38" t="n"/>
      <c r="G383" s="37" t="n"/>
      <c r="H383" s="37" t="n"/>
      <c r="I383" s="49" t="n"/>
      <c r="J383" s="37" t="n"/>
      <c r="K383" s="29" t="n"/>
    </row>
    <row r="384">
      <c r="A384" s="32" t="n"/>
      <c r="B384" s="31" t="n"/>
      <c r="C384" s="31" t="n"/>
      <c r="D384" s="31" t="n"/>
      <c r="E384" s="31" t="n"/>
      <c r="F384" s="36" t="n"/>
      <c r="G384" s="35" t="n"/>
      <c r="H384" s="35" t="n"/>
      <c r="I384" s="48" t="n"/>
      <c r="J384" s="35" t="n"/>
      <c r="K384" s="31" t="n"/>
    </row>
    <row r="385">
      <c r="A385" s="30" t="n"/>
      <c r="B385" s="29" t="n"/>
      <c r="C385" s="29" t="n"/>
      <c r="D385" s="29" t="n"/>
      <c r="E385" s="29" t="n"/>
      <c r="F385" s="38" t="n"/>
      <c r="G385" s="37" t="n"/>
      <c r="H385" s="37" t="n"/>
      <c r="I385" s="49" t="n"/>
      <c r="J385" s="37" t="n"/>
      <c r="K385" s="29" t="n"/>
    </row>
    <row r="386">
      <c r="A386" s="32" t="n"/>
      <c r="B386" s="31" t="n"/>
      <c r="C386" s="31" t="n"/>
      <c r="D386" s="31" t="n"/>
      <c r="E386" s="31" t="n"/>
      <c r="F386" s="36" t="n"/>
      <c r="G386" s="35" t="n"/>
      <c r="H386" s="35" t="n"/>
      <c r="I386" s="48" t="n"/>
      <c r="J386" s="35" t="n"/>
      <c r="K386" s="31" t="n"/>
    </row>
    <row r="387">
      <c r="A387" s="30" t="n"/>
      <c r="B387" s="29" t="n"/>
      <c r="C387" s="29" t="n"/>
      <c r="D387" s="29" t="n"/>
      <c r="E387" s="29" t="n"/>
      <c r="F387" s="38" t="n"/>
      <c r="G387" s="37" t="n"/>
      <c r="H387" s="37" t="n"/>
      <c r="I387" s="49" t="n"/>
      <c r="J387" s="37" t="n"/>
      <c r="K387" s="29" t="n"/>
    </row>
    <row r="388">
      <c r="A388" s="32" t="n"/>
      <c r="B388" s="31" t="n"/>
      <c r="C388" s="31" t="n"/>
      <c r="D388" s="31" t="n"/>
      <c r="E388" s="31" t="n"/>
      <c r="F388" s="36" t="n"/>
      <c r="G388" s="35" t="n"/>
      <c r="H388" s="35" t="n"/>
      <c r="I388" s="48" t="n"/>
      <c r="J388" s="35" t="n"/>
      <c r="K388" s="31" t="n"/>
    </row>
    <row r="389">
      <c r="A389" s="30" t="n"/>
      <c r="B389" s="29" t="n"/>
      <c r="C389" s="29" t="n"/>
      <c r="D389" s="29" t="n"/>
      <c r="E389" s="29" t="n"/>
      <c r="F389" s="38" t="n"/>
      <c r="G389" s="37" t="n"/>
      <c r="H389" s="37" t="n"/>
      <c r="I389" s="49" t="n"/>
      <c r="J389" s="37" t="n"/>
      <c r="K389" s="29" t="n"/>
    </row>
    <row r="390">
      <c r="A390" s="32" t="n"/>
      <c r="B390" s="31" t="n"/>
      <c r="C390" s="31" t="n"/>
      <c r="D390" s="31" t="n"/>
      <c r="E390" s="31" t="n"/>
      <c r="F390" s="36" t="n"/>
      <c r="G390" s="35" t="n"/>
      <c r="H390" s="35" t="n"/>
      <c r="I390" s="48" t="n"/>
      <c r="J390" s="35" t="n"/>
      <c r="K390" s="31" t="n"/>
    </row>
    <row r="391">
      <c r="A391" s="30" t="n"/>
      <c r="B391" s="29" t="n"/>
      <c r="C391" s="29" t="n"/>
      <c r="D391" s="29" t="n"/>
      <c r="E391" s="29" t="n"/>
      <c r="F391" s="38" t="n"/>
      <c r="G391" s="37" t="n"/>
      <c r="H391" s="37" t="n"/>
      <c r="I391" s="49" t="n"/>
      <c r="J391" s="37" t="n"/>
      <c r="K391" s="29" t="n"/>
    </row>
    <row r="392">
      <c r="A392" s="32" t="n"/>
      <c r="B392" s="31" t="n"/>
      <c r="C392" s="31" t="n"/>
      <c r="D392" s="31" t="n"/>
      <c r="E392" s="31" t="n"/>
      <c r="F392" s="36" t="n"/>
      <c r="G392" s="35" t="n"/>
      <c r="H392" s="35" t="n"/>
      <c r="I392" s="48" t="n"/>
      <c r="J392" s="35" t="n"/>
      <c r="K392" s="31" t="n"/>
    </row>
    <row r="393">
      <c r="A393" s="30" t="n"/>
      <c r="B393" s="29" t="n"/>
      <c r="C393" s="29" t="n"/>
      <c r="D393" s="29" t="n"/>
      <c r="E393" s="29" t="n"/>
      <c r="F393" s="38" t="n"/>
      <c r="G393" s="37" t="n"/>
      <c r="H393" s="37" t="n"/>
      <c r="I393" s="49" t="n"/>
      <c r="J393" s="37" t="n"/>
      <c r="K393" s="29" t="n"/>
    </row>
    <row r="394">
      <c r="A394" s="32" t="n"/>
      <c r="B394" s="31" t="n"/>
      <c r="C394" s="31" t="n"/>
      <c r="D394" s="31" t="n"/>
      <c r="E394" s="31" t="n"/>
      <c r="F394" s="36" t="n"/>
      <c r="G394" s="35" t="n"/>
      <c r="H394" s="35" t="n"/>
      <c r="I394" s="48" t="n"/>
      <c r="J394" s="35" t="n"/>
      <c r="K394" s="31" t="n"/>
    </row>
    <row r="395">
      <c r="A395" s="30" t="n"/>
      <c r="B395" s="29" t="n"/>
      <c r="C395" s="29" t="n"/>
      <c r="D395" s="29" t="n"/>
      <c r="E395" s="29" t="n"/>
      <c r="F395" s="38" t="n"/>
      <c r="G395" s="37" t="n"/>
      <c r="H395" s="37" t="n"/>
      <c r="I395" s="49" t="n"/>
      <c r="J395" s="37" t="n"/>
      <c r="K395" s="29" t="n"/>
    </row>
    <row r="396">
      <c r="A396" s="32" t="n"/>
      <c r="B396" s="31" t="n"/>
      <c r="C396" s="31" t="n"/>
      <c r="D396" s="31" t="n"/>
      <c r="E396" s="31" t="n"/>
      <c r="F396" s="36" t="n"/>
      <c r="G396" s="35" t="n"/>
      <c r="H396" s="35" t="n"/>
      <c r="I396" s="48" t="n"/>
      <c r="J396" s="35" t="n"/>
      <c r="K396" s="31" t="n"/>
    </row>
    <row r="397">
      <c r="A397" s="30" t="n"/>
      <c r="B397" s="29" t="n"/>
      <c r="C397" s="29" t="n"/>
      <c r="D397" s="29" t="n"/>
      <c r="E397" s="29" t="n"/>
      <c r="F397" s="38" t="n"/>
      <c r="G397" s="37" t="n"/>
      <c r="H397" s="37" t="n"/>
      <c r="I397" s="49" t="n"/>
      <c r="J397" s="37" t="n"/>
      <c r="K397" s="29" t="n"/>
    </row>
    <row r="398">
      <c r="A398" s="32" t="n"/>
      <c r="B398" s="31" t="n"/>
      <c r="C398" s="31" t="n"/>
      <c r="D398" s="31" t="n"/>
      <c r="E398" s="31" t="n"/>
      <c r="F398" s="36" t="n"/>
      <c r="G398" s="35" t="n"/>
      <c r="H398" s="35" t="n"/>
      <c r="I398" s="48" t="n"/>
      <c r="J398" s="35" t="n"/>
      <c r="K398" s="31" t="n"/>
    </row>
    <row r="399">
      <c r="A399" s="30" t="n"/>
      <c r="B399" s="29" t="n"/>
      <c r="C399" s="29" t="n"/>
      <c r="D399" s="29" t="n"/>
      <c r="E399" s="29" t="n"/>
      <c r="F399" s="38" t="n"/>
      <c r="G399" s="37" t="n"/>
      <c r="H399" s="37" t="n"/>
      <c r="I399" s="49" t="n"/>
      <c r="J399" s="37" t="n"/>
      <c r="K399" s="29" t="n"/>
    </row>
    <row r="400">
      <c r="A400" s="32" t="n"/>
      <c r="B400" s="31" t="n"/>
      <c r="C400" s="31" t="n"/>
      <c r="D400" s="31" t="n"/>
      <c r="E400" s="31" t="n"/>
      <c r="F400" s="36" t="n"/>
      <c r="G400" s="35" t="n"/>
      <c r="H400" s="35" t="n"/>
      <c r="I400" s="48" t="n"/>
      <c r="J400" s="35" t="n"/>
      <c r="K400" s="31" t="n"/>
    </row>
    <row r="401">
      <c r="A401" s="30" t="n"/>
      <c r="B401" s="29" t="n"/>
      <c r="C401" s="29" t="n"/>
      <c r="D401" s="29" t="n"/>
      <c r="E401" s="29" t="n"/>
      <c r="F401" s="38" t="n"/>
      <c r="G401" s="37" t="n"/>
      <c r="H401" s="37" t="n"/>
      <c r="I401" s="49" t="n"/>
      <c r="J401" s="37" t="n"/>
      <c r="K401" s="29" t="n"/>
    </row>
    <row r="402">
      <c r="A402" s="32" t="n"/>
      <c r="B402" s="31" t="n"/>
      <c r="C402" s="31" t="n"/>
      <c r="D402" s="31" t="n"/>
      <c r="E402" s="31" t="n"/>
      <c r="F402" s="36" t="n"/>
      <c r="G402" s="35" t="n"/>
      <c r="H402" s="35" t="n"/>
      <c r="I402" s="48" t="n"/>
      <c r="J402" s="35" t="n"/>
      <c r="K402" s="31" t="n"/>
    </row>
    <row r="403">
      <c r="A403" s="30" t="n"/>
      <c r="B403" s="29" t="n"/>
      <c r="C403" s="29" t="n"/>
      <c r="D403" s="29" t="n"/>
      <c r="E403" s="29" t="n"/>
      <c r="F403" s="38" t="n"/>
      <c r="G403" s="37" t="n"/>
      <c r="H403" s="37" t="n"/>
      <c r="I403" s="49" t="n"/>
      <c r="J403" s="37" t="n"/>
      <c r="K403" s="29" t="n"/>
    </row>
    <row r="404">
      <c r="A404" s="32" t="n"/>
      <c r="B404" s="31" t="n"/>
      <c r="C404" s="31" t="n"/>
      <c r="D404" s="31" t="n"/>
      <c r="E404" s="31" t="n"/>
      <c r="F404" s="36" t="n"/>
      <c r="G404" s="35" t="n"/>
      <c r="H404" s="35" t="n"/>
      <c r="I404" s="48" t="n"/>
      <c r="J404" s="35" t="n"/>
      <c r="K404" s="31" t="n"/>
    </row>
    <row r="405">
      <c r="A405" s="30" t="n"/>
      <c r="B405" s="29" t="n"/>
      <c r="C405" s="29" t="n"/>
      <c r="D405" s="29" t="n"/>
      <c r="E405" s="29" t="n"/>
      <c r="F405" s="38" t="n"/>
      <c r="G405" s="37" t="n"/>
      <c r="H405" s="37" t="n"/>
      <c r="I405" s="49" t="n"/>
      <c r="J405" s="37" t="n"/>
      <c r="K405" s="29" t="n"/>
    </row>
    <row r="406">
      <c r="A406" s="32" t="n"/>
      <c r="B406" s="31" t="n"/>
      <c r="C406" s="31" t="n"/>
      <c r="D406" s="31" t="n"/>
      <c r="E406" s="31" t="n"/>
      <c r="F406" s="36" t="n"/>
      <c r="G406" s="35" t="n"/>
      <c r="H406" s="35" t="n"/>
      <c r="I406" s="48" t="n"/>
      <c r="J406" s="35" t="n"/>
      <c r="K406" s="31" t="n"/>
    </row>
    <row r="407">
      <c r="A407" s="30" t="n"/>
      <c r="B407" s="29" t="n"/>
      <c r="C407" s="29" t="n"/>
      <c r="D407" s="29" t="n"/>
      <c r="E407" s="29" t="n"/>
      <c r="F407" s="38" t="n"/>
      <c r="G407" s="37" t="n"/>
      <c r="H407" s="37" t="n"/>
      <c r="I407" s="49" t="n"/>
      <c r="J407" s="37" t="n"/>
      <c r="K407" s="29" t="n"/>
    </row>
    <row r="408">
      <c r="A408" s="32" t="n"/>
      <c r="B408" s="31" t="n"/>
      <c r="C408" s="31" t="n"/>
      <c r="D408" s="31" t="n"/>
      <c r="E408" s="31" t="n"/>
      <c r="F408" s="36" t="n"/>
      <c r="G408" s="35" t="n"/>
      <c r="H408" s="35" t="n"/>
      <c r="I408" s="48" t="n"/>
      <c r="J408" s="35" t="n"/>
      <c r="K408" s="31" t="n"/>
    </row>
    <row r="409">
      <c r="A409" s="30" t="n"/>
      <c r="B409" s="29" t="n"/>
      <c r="C409" s="29" t="n"/>
      <c r="D409" s="29" t="n"/>
      <c r="E409" s="29" t="n"/>
      <c r="F409" s="38" t="n"/>
      <c r="G409" s="37" t="n"/>
      <c r="H409" s="37" t="n"/>
      <c r="I409" s="49" t="n"/>
      <c r="J409" s="37" t="n"/>
      <c r="K409" s="29" t="n"/>
    </row>
    <row r="410">
      <c r="A410" s="32" t="n"/>
      <c r="B410" s="31" t="n"/>
      <c r="C410" s="31" t="n"/>
      <c r="D410" s="31" t="n"/>
      <c r="E410" s="31" t="n"/>
      <c r="F410" s="36" t="n"/>
      <c r="G410" s="35" t="n"/>
      <c r="H410" s="35" t="n"/>
      <c r="I410" s="48" t="n"/>
      <c r="J410" s="35" t="n"/>
      <c r="K410" s="31" t="n"/>
    </row>
    <row r="411">
      <c r="A411" s="30" t="n"/>
      <c r="B411" s="29" t="n"/>
      <c r="C411" s="29" t="n"/>
      <c r="D411" s="29" t="n"/>
      <c r="E411" s="29" t="n"/>
      <c r="F411" s="38" t="n"/>
      <c r="G411" s="37" t="n"/>
      <c r="H411" s="37" t="n"/>
      <c r="I411" s="49" t="n"/>
      <c r="J411" s="37" t="n"/>
      <c r="K411" s="29" t="n"/>
    </row>
    <row r="412">
      <c r="A412" s="32" t="n"/>
      <c r="B412" s="31" t="n"/>
      <c r="C412" s="31" t="n"/>
      <c r="D412" s="31" t="n"/>
      <c r="E412" s="31" t="n"/>
      <c r="F412" s="36" t="n"/>
      <c r="G412" s="35" t="n"/>
      <c r="H412" s="35" t="n"/>
      <c r="I412" s="48" t="n"/>
      <c r="J412" s="35" t="n"/>
      <c r="K412" s="31" t="n"/>
    </row>
    <row r="413">
      <c r="A413" s="30" t="n"/>
      <c r="B413" s="29" t="n"/>
      <c r="C413" s="29" t="n"/>
      <c r="D413" s="29" t="n"/>
      <c r="E413" s="29" t="n"/>
      <c r="F413" s="38" t="n"/>
      <c r="G413" s="37" t="n"/>
      <c r="H413" s="37" t="n"/>
      <c r="I413" s="49" t="n"/>
      <c r="J413" s="37" t="n"/>
      <c r="K413" s="29" t="n"/>
    </row>
    <row r="414">
      <c r="A414" s="32" t="n"/>
      <c r="B414" s="31" t="n"/>
      <c r="C414" s="31" t="n"/>
      <c r="D414" s="31" t="n"/>
      <c r="E414" s="31" t="n"/>
      <c r="F414" s="36" t="n"/>
      <c r="G414" s="35" t="n"/>
      <c r="H414" s="35" t="n"/>
      <c r="I414" s="48" t="n"/>
      <c r="J414" s="35" t="n"/>
      <c r="K414" s="31" t="n"/>
    </row>
    <row r="415">
      <c r="A415" s="30" t="n"/>
      <c r="B415" s="29" t="n"/>
      <c r="C415" s="29" t="n"/>
      <c r="D415" s="29" t="n"/>
      <c r="E415" s="29" t="n"/>
      <c r="F415" s="38" t="n"/>
      <c r="G415" s="37" t="n"/>
      <c r="H415" s="37" t="n"/>
      <c r="I415" s="49" t="n"/>
      <c r="J415" s="37" t="n"/>
      <c r="K415" s="29" t="n"/>
    </row>
    <row r="416">
      <c r="A416" s="32" t="n"/>
      <c r="B416" s="31" t="n"/>
      <c r="C416" s="31" t="n"/>
      <c r="D416" s="31" t="n"/>
      <c r="E416" s="31" t="n"/>
      <c r="F416" s="36" t="n"/>
      <c r="G416" s="35" t="n"/>
      <c r="H416" s="35" t="n"/>
      <c r="I416" s="48" t="n"/>
      <c r="J416" s="35" t="n"/>
      <c r="K416" s="31" t="n"/>
    </row>
    <row r="417">
      <c r="A417" s="30" t="n"/>
      <c r="B417" s="29" t="n"/>
      <c r="C417" s="29" t="n"/>
      <c r="D417" s="29" t="n"/>
      <c r="E417" s="29" t="n"/>
      <c r="F417" s="38" t="n"/>
      <c r="G417" s="37" t="n"/>
      <c r="H417" s="37" t="n"/>
      <c r="I417" s="49" t="n"/>
      <c r="J417" s="37" t="n"/>
      <c r="K417" s="29" t="n"/>
    </row>
    <row r="418">
      <c r="A418" s="32" t="n"/>
      <c r="B418" s="31" t="n"/>
      <c r="C418" s="31" t="n"/>
      <c r="D418" s="31" t="n"/>
      <c r="E418" s="31" t="n"/>
      <c r="F418" s="36" t="n"/>
      <c r="G418" s="35" t="n"/>
      <c r="H418" s="35" t="n"/>
      <c r="I418" s="48" t="n"/>
      <c r="J418" s="35" t="n"/>
      <c r="K418" s="31" t="n"/>
    </row>
    <row r="419">
      <c r="A419" s="30" t="n"/>
      <c r="B419" s="29" t="n"/>
      <c r="C419" s="29" t="n"/>
      <c r="D419" s="29" t="n"/>
      <c r="E419" s="29" t="n"/>
      <c r="F419" s="38" t="n"/>
      <c r="G419" s="37" t="n"/>
      <c r="H419" s="37" t="n"/>
      <c r="I419" s="49" t="n"/>
      <c r="J419" s="37" t="n"/>
      <c r="K419" s="29" t="n"/>
    </row>
    <row r="420">
      <c r="A420" s="32" t="n"/>
      <c r="B420" s="31" t="n"/>
      <c r="C420" s="31" t="n"/>
      <c r="D420" s="31" t="n"/>
      <c r="E420" s="31" t="n"/>
      <c r="F420" s="36" t="n"/>
      <c r="G420" s="35" t="n"/>
      <c r="H420" s="35" t="n"/>
      <c r="I420" s="48" t="n"/>
      <c r="J420" s="35" t="n"/>
      <c r="K420" s="31" t="n"/>
    </row>
    <row r="421">
      <c r="A421" s="30" t="n"/>
      <c r="B421" s="29" t="n"/>
      <c r="C421" s="29" t="n"/>
      <c r="D421" s="29" t="n"/>
      <c r="E421" s="29" t="n"/>
      <c r="F421" s="38" t="n"/>
      <c r="G421" s="37" t="n"/>
      <c r="H421" s="37" t="n"/>
      <c r="I421" s="49" t="n"/>
      <c r="J421" s="37" t="n"/>
      <c r="K421" s="29" t="n"/>
    </row>
    <row r="422">
      <c r="A422" s="32" t="n"/>
      <c r="B422" s="31" t="n"/>
      <c r="C422" s="31" t="n"/>
      <c r="D422" s="31" t="n"/>
      <c r="E422" s="31" t="n"/>
      <c r="F422" s="36" t="n"/>
      <c r="G422" s="35" t="n"/>
      <c r="H422" s="35" t="n"/>
      <c r="I422" s="48" t="n"/>
      <c r="J422" s="35" t="n"/>
      <c r="K422" s="31" t="n"/>
    </row>
    <row r="423">
      <c r="A423" s="30" t="n"/>
      <c r="B423" s="29" t="n"/>
      <c r="C423" s="29" t="n"/>
      <c r="D423" s="29" t="n"/>
      <c r="E423" s="29" t="n"/>
      <c r="F423" s="38" t="n"/>
      <c r="G423" s="37" t="n"/>
      <c r="H423" s="37" t="n"/>
      <c r="I423" s="49" t="n"/>
      <c r="J423" s="37" t="n"/>
      <c r="K423" s="29" t="n"/>
    </row>
    <row r="424">
      <c r="A424" s="32" t="n"/>
      <c r="B424" s="31" t="n"/>
      <c r="C424" s="31" t="n"/>
      <c r="D424" s="31" t="n"/>
      <c r="E424" s="31" t="n"/>
      <c r="F424" s="36" t="n"/>
      <c r="G424" s="35" t="n"/>
      <c r="H424" s="35" t="n"/>
      <c r="I424" s="48" t="n"/>
      <c r="J424" s="35" t="n"/>
      <c r="K424" s="31" t="n"/>
    </row>
    <row r="425">
      <c r="A425" s="30" t="n"/>
      <c r="B425" s="29" t="n"/>
      <c r="C425" s="29" t="n"/>
      <c r="D425" s="29" t="n"/>
      <c r="E425" s="29" t="n"/>
      <c r="F425" s="38" t="n"/>
      <c r="G425" s="37" t="n"/>
      <c r="H425" s="37" t="n"/>
      <c r="I425" s="49" t="n"/>
      <c r="J425" s="37" t="n"/>
      <c r="K425" s="29" t="n"/>
    </row>
    <row r="426">
      <c r="A426" s="32" t="n"/>
      <c r="B426" s="31" t="n"/>
      <c r="C426" s="31" t="n"/>
      <c r="D426" s="31" t="n"/>
      <c r="E426" s="31" t="n"/>
      <c r="F426" s="36" t="n"/>
      <c r="G426" s="35" t="n"/>
      <c r="H426" s="35" t="n"/>
      <c r="I426" s="48" t="n"/>
      <c r="J426" s="35" t="n"/>
      <c r="K426" s="31" t="n"/>
    </row>
    <row r="427">
      <c r="A427" s="30" t="n"/>
      <c r="B427" s="29" t="n"/>
      <c r="C427" s="29" t="n"/>
      <c r="D427" s="29" t="n"/>
      <c r="E427" s="29" t="n"/>
      <c r="F427" s="38" t="n"/>
      <c r="G427" s="37" t="n"/>
      <c r="H427" s="37" t="n"/>
      <c r="I427" s="49" t="n"/>
      <c r="J427" s="37" t="n"/>
      <c r="K427" s="29" t="n"/>
    </row>
    <row r="428">
      <c r="A428" s="32" t="n"/>
      <c r="B428" s="31" t="n"/>
      <c r="C428" s="31" t="n"/>
      <c r="D428" s="31" t="n"/>
      <c r="E428" s="31" t="n"/>
      <c r="F428" s="36" t="n"/>
      <c r="G428" s="35" t="n"/>
      <c r="H428" s="35" t="n"/>
      <c r="I428" s="48" t="n"/>
      <c r="J428" s="35" t="n"/>
      <c r="K428" s="31" t="n"/>
    </row>
    <row r="429">
      <c r="A429" s="30" t="n"/>
      <c r="B429" s="29" t="n"/>
      <c r="C429" s="29" t="n"/>
      <c r="D429" s="29" t="n"/>
      <c r="E429" s="29" t="n"/>
      <c r="F429" s="38" t="n"/>
      <c r="G429" s="37" t="n"/>
      <c r="H429" s="37" t="n"/>
      <c r="I429" s="49" t="n"/>
      <c r="J429" s="37" t="n"/>
      <c r="K429" s="29" t="n"/>
    </row>
    <row r="430">
      <c r="A430" s="32" t="n"/>
      <c r="B430" s="31" t="n"/>
      <c r="C430" s="31" t="n"/>
      <c r="D430" s="31" t="n"/>
      <c r="E430" s="31" t="n"/>
      <c r="F430" s="36" t="n"/>
      <c r="G430" s="35" t="n"/>
      <c r="H430" s="35" t="n"/>
      <c r="I430" s="48" t="n"/>
      <c r="J430" s="35" t="n"/>
      <c r="K430" s="31" t="n"/>
    </row>
    <row r="431">
      <c r="A431" s="30" t="n"/>
      <c r="B431" s="29" t="n"/>
      <c r="C431" s="29" t="n"/>
      <c r="D431" s="29" t="n"/>
      <c r="E431" s="29" t="n"/>
      <c r="F431" s="38" t="n"/>
      <c r="G431" s="37" t="n"/>
      <c r="H431" s="37" t="n"/>
      <c r="I431" s="49" t="n"/>
      <c r="J431" s="37" t="n"/>
      <c r="K431" s="29" t="n"/>
    </row>
    <row r="432">
      <c r="A432" s="32" t="n"/>
      <c r="B432" s="31" t="n"/>
      <c r="C432" s="31" t="n"/>
      <c r="D432" s="31" t="n"/>
      <c r="E432" s="31" t="n"/>
      <c r="F432" s="36" t="n"/>
      <c r="G432" s="35" t="n"/>
      <c r="H432" s="35" t="n"/>
      <c r="I432" s="48" t="n"/>
      <c r="J432" s="35" t="n"/>
      <c r="K432" s="31" t="n"/>
    </row>
    <row r="433">
      <c r="A433" s="30" t="n"/>
      <c r="B433" s="29" t="n"/>
      <c r="C433" s="29" t="n"/>
      <c r="D433" s="29" t="n"/>
      <c r="E433" s="29" t="n"/>
      <c r="F433" s="38" t="n"/>
      <c r="G433" s="37" t="n"/>
      <c r="H433" s="37" t="n"/>
      <c r="I433" s="49" t="n"/>
      <c r="J433" s="37" t="n"/>
      <c r="K433" s="29" t="n"/>
    </row>
    <row r="434">
      <c r="A434" s="32" t="n"/>
      <c r="B434" s="31" t="n"/>
      <c r="C434" s="31" t="n"/>
      <c r="D434" s="31" t="n"/>
      <c r="E434" s="31" t="n"/>
      <c r="F434" s="36" t="n"/>
      <c r="G434" s="35" t="n"/>
      <c r="H434" s="35" t="n"/>
      <c r="I434" s="48" t="n"/>
      <c r="J434" s="35" t="n"/>
      <c r="K434" s="31" t="n"/>
    </row>
    <row r="435">
      <c r="A435" s="30" t="n"/>
      <c r="B435" s="29" t="n"/>
      <c r="C435" s="29" t="n"/>
      <c r="D435" s="29" t="n"/>
      <c r="E435" s="29" t="n"/>
      <c r="F435" s="38" t="n"/>
      <c r="G435" s="37" t="n"/>
      <c r="H435" s="37" t="n"/>
      <c r="I435" s="49" t="n"/>
      <c r="J435" s="37" t="n"/>
      <c r="K435" s="29" t="n"/>
    </row>
    <row r="436">
      <c r="A436" s="32" t="n"/>
      <c r="B436" s="31" t="n"/>
      <c r="C436" s="31" t="n"/>
      <c r="D436" s="31" t="n"/>
      <c r="E436" s="31" t="n"/>
      <c r="F436" s="36" t="n"/>
      <c r="G436" s="35" t="n"/>
      <c r="H436" s="35" t="n"/>
      <c r="I436" s="48" t="n"/>
      <c r="J436" s="35" t="n"/>
      <c r="K436" s="31" t="n"/>
    </row>
    <row r="437">
      <c r="A437" s="30" t="n"/>
      <c r="B437" s="29" t="n"/>
      <c r="C437" s="29" t="n"/>
      <c r="D437" s="29" t="n"/>
      <c r="E437" s="29" t="n"/>
      <c r="F437" s="38" t="n"/>
      <c r="G437" s="37" t="n"/>
      <c r="H437" s="37" t="n"/>
      <c r="I437" s="49" t="n"/>
      <c r="J437" s="37" t="n"/>
      <c r="K437" s="29" t="n"/>
    </row>
    <row r="438">
      <c r="A438" s="32" t="n"/>
      <c r="B438" s="31" t="n"/>
      <c r="C438" s="31" t="n"/>
      <c r="D438" s="31" t="n"/>
      <c r="E438" s="31" t="n"/>
      <c r="F438" s="36" t="n"/>
      <c r="G438" s="35" t="n"/>
      <c r="H438" s="35" t="n"/>
      <c r="I438" s="48" t="n"/>
      <c r="J438" s="35" t="n"/>
      <c r="K438" s="31" t="n"/>
    </row>
    <row r="439">
      <c r="A439" s="30" t="n"/>
      <c r="B439" s="29" t="n"/>
      <c r="C439" s="29" t="n"/>
      <c r="D439" s="29" t="n"/>
      <c r="E439" s="29" t="n"/>
      <c r="F439" s="38" t="n"/>
      <c r="G439" s="37" t="n"/>
      <c r="H439" s="37" t="n"/>
      <c r="I439" s="49" t="n"/>
      <c r="J439" s="37" t="n"/>
      <c r="K439" s="29" t="n"/>
    </row>
    <row r="440">
      <c r="A440" s="32" t="n"/>
      <c r="B440" s="31" t="n"/>
      <c r="C440" s="31" t="n"/>
      <c r="D440" s="31" t="n"/>
      <c r="E440" s="31" t="n"/>
      <c r="F440" s="36" t="n"/>
      <c r="G440" s="35" t="n"/>
      <c r="H440" s="35" t="n"/>
      <c r="I440" s="48" t="n"/>
      <c r="J440" s="35" t="n"/>
      <c r="K440" s="31" t="n"/>
    </row>
    <row r="441">
      <c r="A441" s="30" t="n"/>
      <c r="B441" s="29" t="n"/>
      <c r="C441" s="29" t="n"/>
      <c r="D441" s="29" t="n"/>
      <c r="E441" s="29" t="n"/>
      <c r="F441" s="38" t="n"/>
      <c r="G441" s="37" t="n"/>
      <c r="H441" s="37" t="n"/>
      <c r="I441" s="49" t="n"/>
      <c r="J441" s="37" t="n"/>
      <c r="K441" s="29" t="n"/>
    </row>
    <row r="442">
      <c r="A442" s="32" t="n"/>
      <c r="B442" s="31" t="n"/>
      <c r="C442" s="31" t="n"/>
      <c r="D442" s="31" t="n"/>
      <c r="E442" s="31" t="n"/>
      <c r="F442" s="36" t="n"/>
      <c r="G442" s="35" t="n"/>
      <c r="H442" s="35" t="n"/>
      <c r="I442" s="48" t="n"/>
      <c r="J442" s="35" t="n"/>
      <c r="K442" s="31" t="n"/>
    </row>
    <row r="443">
      <c r="A443" s="30" t="n"/>
      <c r="B443" s="29" t="n"/>
      <c r="C443" s="29" t="n"/>
      <c r="D443" s="29" t="n"/>
      <c r="E443" s="29" t="n"/>
      <c r="F443" s="38" t="n"/>
      <c r="G443" s="37" t="n"/>
      <c r="H443" s="37" t="n"/>
      <c r="I443" s="49" t="n"/>
      <c r="J443" s="37" t="n"/>
      <c r="K443" s="29" t="n"/>
    </row>
    <row r="444">
      <c r="A444" s="32" t="n"/>
      <c r="B444" s="31" t="n"/>
      <c r="C444" s="31" t="n"/>
      <c r="D444" s="31" t="n"/>
      <c r="E444" s="31" t="n"/>
      <c r="F444" s="36" t="n"/>
      <c r="G444" s="35" t="n"/>
      <c r="H444" s="35" t="n"/>
      <c r="I444" s="48" t="n"/>
      <c r="J444" s="35" t="n"/>
      <c r="K444" s="31" t="n"/>
    </row>
    <row r="445">
      <c r="A445" s="30" t="n"/>
      <c r="B445" s="29" t="n"/>
      <c r="C445" s="29" t="n"/>
      <c r="D445" s="29" t="n"/>
      <c r="E445" s="29" t="n"/>
      <c r="F445" s="38" t="n"/>
      <c r="G445" s="37" t="n"/>
      <c r="H445" s="37" t="n"/>
      <c r="I445" s="49" t="n"/>
      <c r="J445" s="37" t="n"/>
      <c r="K445" s="29" t="n"/>
    </row>
    <row r="446">
      <c r="A446" s="32" t="n"/>
      <c r="B446" s="31" t="n"/>
      <c r="C446" s="31" t="n"/>
      <c r="D446" s="31" t="n"/>
      <c r="E446" s="31" t="n"/>
      <c r="F446" s="36" t="n"/>
      <c r="G446" s="35" t="n"/>
      <c r="H446" s="35" t="n"/>
      <c r="I446" s="48" t="n"/>
      <c r="J446" s="35" t="n"/>
      <c r="K446" s="31" t="n"/>
    </row>
    <row r="447">
      <c r="A447" s="30" t="n"/>
      <c r="B447" s="29" t="n"/>
      <c r="C447" s="29" t="n"/>
      <c r="D447" s="29" t="n"/>
      <c r="E447" s="29" t="n"/>
      <c r="F447" s="38" t="n"/>
      <c r="G447" s="37" t="n"/>
      <c r="H447" s="37" t="n"/>
      <c r="I447" s="49" t="n"/>
      <c r="J447" s="37" t="n"/>
      <c r="K447" s="29" t="n"/>
    </row>
    <row r="448">
      <c r="A448" s="32" t="n"/>
      <c r="B448" s="31" t="n"/>
      <c r="C448" s="31" t="n"/>
      <c r="D448" s="31" t="n"/>
      <c r="E448" s="31" t="n"/>
      <c r="F448" s="36" t="n"/>
      <c r="G448" s="35" t="n"/>
      <c r="H448" s="35" t="n"/>
      <c r="I448" s="48" t="n"/>
      <c r="J448" s="35" t="n"/>
      <c r="K448" s="31" t="n"/>
    </row>
    <row r="449">
      <c r="A449" s="30" t="n"/>
      <c r="B449" s="29" t="n"/>
      <c r="C449" s="29" t="n"/>
      <c r="D449" s="29" t="n"/>
      <c r="E449" s="29" t="n"/>
      <c r="F449" s="38" t="n"/>
      <c r="G449" s="37" t="n"/>
      <c r="H449" s="37" t="n"/>
      <c r="I449" s="49" t="n"/>
      <c r="J449" s="37" t="n"/>
      <c r="K449" s="29" t="n"/>
    </row>
    <row r="450">
      <c r="A450" s="32" t="n"/>
      <c r="B450" s="31" t="n"/>
      <c r="C450" s="31" t="n"/>
      <c r="D450" s="31" t="n"/>
      <c r="E450" s="31" t="n"/>
      <c r="F450" s="36" t="n"/>
      <c r="G450" s="35" t="n"/>
      <c r="H450" s="35" t="n"/>
      <c r="I450" s="48" t="n"/>
      <c r="J450" s="35" t="n"/>
      <c r="K450" s="31" t="n"/>
    </row>
    <row r="451">
      <c r="A451" s="30" t="n"/>
      <c r="B451" s="29" t="n"/>
      <c r="C451" s="29" t="n"/>
      <c r="D451" s="29" t="n"/>
      <c r="E451" s="29" t="n"/>
      <c r="F451" s="38" t="n"/>
      <c r="G451" s="37" t="n"/>
      <c r="H451" s="37" t="n"/>
      <c r="I451" s="49" t="n"/>
      <c r="J451" s="37" t="n"/>
      <c r="K451" s="29" t="n"/>
    </row>
    <row r="452">
      <c r="A452" s="32" t="n"/>
      <c r="B452" s="31" t="n"/>
      <c r="C452" s="31" t="n"/>
      <c r="D452" s="31" t="n"/>
      <c r="E452" s="31" t="n"/>
      <c r="F452" s="36" t="n"/>
      <c r="G452" s="35" t="n"/>
      <c r="H452" s="35" t="n"/>
      <c r="I452" s="48" t="n"/>
      <c r="J452" s="35" t="n"/>
      <c r="K452" s="31" t="n"/>
    </row>
    <row r="453">
      <c r="A453" s="30" t="n"/>
      <c r="B453" s="29" t="n"/>
      <c r="C453" s="29" t="n"/>
      <c r="D453" s="29" t="n"/>
      <c r="E453" s="29" t="n"/>
      <c r="F453" s="38" t="n"/>
      <c r="G453" s="37" t="n"/>
      <c r="H453" s="37" t="n"/>
      <c r="I453" s="49" t="n"/>
      <c r="J453" s="37" t="n"/>
      <c r="K453" s="29" t="n"/>
    </row>
    <row r="454">
      <c r="A454" s="32" t="n"/>
      <c r="B454" s="31" t="n"/>
      <c r="C454" s="31" t="n"/>
      <c r="D454" s="31" t="n"/>
      <c r="E454" s="31" t="n"/>
      <c r="F454" s="36" t="n"/>
      <c r="G454" s="35" t="n"/>
      <c r="H454" s="35" t="n"/>
      <c r="I454" s="48" t="n"/>
      <c r="J454" s="35" t="n"/>
      <c r="K454" s="31" t="n"/>
    </row>
    <row r="455">
      <c r="A455" s="30" t="n"/>
      <c r="B455" s="29" t="n"/>
      <c r="C455" s="29" t="n"/>
      <c r="D455" s="29" t="n"/>
      <c r="E455" s="29" t="n"/>
      <c r="F455" s="38" t="n"/>
      <c r="G455" s="37" t="n"/>
      <c r="H455" s="37" t="n"/>
      <c r="I455" s="49" t="n"/>
      <c r="J455" s="37" t="n"/>
      <c r="K455" s="29" t="n"/>
    </row>
    <row r="456">
      <c r="A456" s="32" t="n"/>
      <c r="B456" s="31" t="n"/>
      <c r="C456" s="31" t="n"/>
      <c r="D456" s="31" t="n"/>
      <c r="E456" s="31" t="n"/>
      <c r="F456" s="36" t="n"/>
      <c r="G456" s="35" t="n"/>
      <c r="H456" s="35" t="n"/>
      <c r="I456" s="48" t="n"/>
      <c r="J456" s="35" t="n"/>
      <c r="K456" s="31" t="n"/>
    </row>
    <row r="457">
      <c r="A457" s="30" t="n"/>
      <c r="B457" s="29" t="n"/>
      <c r="C457" s="29" t="n"/>
      <c r="D457" s="29" t="n"/>
      <c r="E457" s="29" t="n"/>
      <c r="F457" s="38" t="n"/>
      <c r="G457" s="37" t="n"/>
      <c r="H457" s="37" t="n"/>
      <c r="I457" s="49" t="n"/>
      <c r="J457" s="37" t="n"/>
      <c r="K457" s="29" t="n"/>
    </row>
    <row r="458">
      <c r="A458" s="32" t="n"/>
      <c r="B458" s="31" t="n"/>
      <c r="C458" s="31" t="n"/>
      <c r="D458" s="31" t="n"/>
      <c r="E458" s="31" t="n"/>
      <c r="F458" s="36" t="n"/>
      <c r="G458" s="35" t="n"/>
      <c r="H458" s="35" t="n"/>
      <c r="I458" s="48" t="n"/>
      <c r="J458" s="35" t="n"/>
      <c r="K458" s="31" t="n"/>
    </row>
    <row r="459">
      <c r="A459" s="30" t="n"/>
      <c r="B459" s="29" t="n"/>
      <c r="C459" s="29" t="n"/>
      <c r="D459" s="29" t="n"/>
      <c r="E459" s="29" t="n"/>
      <c r="F459" s="38" t="n"/>
      <c r="G459" s="37" t="n"/>
      <c r="H459" s="37" t="n"/>
      <c r="I459" s="49" t="n"/>
      <c r="J459" s="37" t="n"/>
      <c r="K459" s="29" t="n"/>
    </row>
    <row r="460">
      <c r="A460" s="32" t="n"/>
      <c r="B460" s="31" t="n"/>
      <c r="C460" s="31" t="n"/>
      <c r="D460" s="31" t="n"/>
      <c r="E460" s="31" t="n"/>
      <c r="F460" s="36" t="n"/>
      <c r="G460" s="35" t="n"/>
      <c r="H460" s="35" t="n"/>
      <c r="I460" s="48" t="n"/>
      <c r="J460" s="35" t="n"/>
      <c r="K460" s="31" t="n"/>
    </row>
    <row r="461">
      <c r="A461" s="30" t="n"/>
      <c r="B461" s="29" t="n"/>
      <c r="C461" s="29" t="n"/>
      <c r="D461" s="29" t="n"/>
      <c r="E461" s="29" t="n"/>
      <c r="F461" s="38" t="n"/>
      <c r="G461" s="37" t="n"/>
      <c r="H461" s="37" t="n"/>
      <c r="I461" s="49" t="n"/>
      <c r="J461" s="37" t="n"/>
      <c r="K461" s="29" t="n"/>
    </row>
    <row r="462">
      <c r="A462" s="32" t="n"/>
      <c r="B462" s="31" t="n"/>
      <c r="C462" s="31" t="n"/>
      <c r="D462" s="31" t="n"/>
      <c r="E462" s="31" t="n"/>
      <c r="F462" s="36" t="n"/>
      <c r="G462" s="35" t="n"/>
      <c r="H462" s="35" t="n"/>
      <c r="I462" s="48" t="n"/>
      <c r="J462" s="35" t="n"/>
      <c r="K462" s="31" t="n"/>
    </row>
    <row r="463">
      <c r="A463" s="30" t="n"/>
      <c r="B463" s="29" t="n"/>
      <c r="C463" s="29" t="n"/>
      <c r="D463" s="29" t="n"/>
      <c r="E463" s="29" t="n"/>
      <c r="F463" s="38" t="n"/>
      <c r="G463" s="37" t="n"/>
      <c r="H463" s="37" t="n"/>
      <c r="I463" s="49" t="n"/>
      <c r="J463" s="37" t="n"/>
      <c r="K463" s="29" t="n"/>
    </row>
    <row r="464">
      <c r="A464" s="32" t="n"/>
      <c r="B464" s="31" t="n"/>
      <c r="C464" s="31" t="n"/>
      <c r="D464" s="31" t="n"/>
      <c r="E464" s="31" t="n"/>
      <c r="F464" s="36" t="n"/>
      <c r="G464" s="35" t="n"/>
      <c r="H464" s="35" t="n"/>
      <c r="I464" s="48" t="n"/>
      <c r="J464" s="35" t="n"/>
      <c r="K464" s="31" t="n"/>
    </row>
    <row r="465">
      <c r="A465" s="30" t="n"/>
      <c r="B465" s="29" t="n"/>
      <c r="C465" s="29" t="n"/>
      <c r="D465" s="29" t="n"/>
      <c r="E465" s="29" t="n"/>
      <c r="F465" s="38" t="n"/>
      <c r="G465" s="37" t="n"/>
      <c r="H465" s="37" t="n"/>
      <c r="I465" s="49" t="n"/>
      <c r="J465" s="37" t="n"/>
      <c r="K465" s="29" t="n"/>
    </row>
    <row r="466">
      <c r="A466" s="32" t="n"/>
      <c r="B466" s="31" t="n"/>
      <c r="C466" s="31" t="n"/>
      <c r="D466" s="31" t="n"/>
      <c r="E466" s="31" t="n"/>
      <c r="F466" s="36" t="n"/>
      <c r="G466" s="35" t="n"/>
      <c r="H466" s="35" t="n"/>
      <c r="I466" s="48" t="n"/>
      <c r="J466" s="35" t="n"/>
      <c r="K466" s="31" t="n"/>
    </row>
    <row r="467">
      <c r="A467" s="30" t="n"/>
      <c r="B467" s="29" t="n"/>
      <c r="C467" s="29" t="n"/>
      <c r="D467" s="29" t="n"/>
      <c r="E467" s="29" t="n"/>
      <c r="F467" s="38" t="n"/>
      <c r="G467" s="37" t="n"/>
      <c r="H467" s="37" t="n"/>
      <c r="I467" s="49" t="n"/>
      <c r="J467" s="37" t="n"/>
      <c r="K467" s="29" t="n"/>
    </row>
    <row r="468">
      <c r="A468" s="32" t="n"/>
      <c r="B468" s="31" t="n"/>
      <c r="C468" s="31" t="n"/>
      <c r="D468" s="31" t="n"/>
      <c r="E468" s="31" t="n"/>
      <c r="F468" s="36" t="n"/>
      <c r="G468" s="35" t="n"/>
      <c r="H468" s="35" t="n"/>
      <c r="I468" s="48" t="n"/>
      <c r="J468" s="35" t="n"/>
      <c r="K468" s="31" t="n"/>
    </row>
    <row r="469">
      <c r="A469" s="30" t="n"/>
      <c r="B469" s="29" t="n"/>
      <c r="C469" s="29" t="n"/>
      <c r="D469" s="29" t="n"/>
      <c r="E469" s="29" t="n"/>
      <c r="F469" s="38" t="n"/>
      <c r="G469" s="37" t="n"/>
      <c r="H469" s="37" t="n"/>
      <c r="I469" s="49" t="n"/>
      <c r="J469" s="37" t="n"/>
      <c r="K469" s="29" t="n"/>
    </row>
    <row r="470">
      <c r="A470" s="32" t="n"/>
      <c r="B470" s="31" t="n"/>
      <c r="C470" s="31" t="n"/>
      <c r="D470" s="31" t="n"/>
      <c r="E470" s="31" t="n"/>
      <c r="F470" s="36" t="n"/>
      <c r="G470" s="35" t="n"/>
      <c r="H470" s="35" t="n"/>
      <c r="I470" s="48" t="n"/>
      <c r="J470" s="35" t="n"/>
      <c r="K470" s="31" t="n"/>
    </row>
    <row r="471">
      <c r="A471" s="30" t="n"/>
      <c r="B471" s="29" t="n"/>
      <c r="C471" s="29" t="n"/>
      <c r="D471" s="29" t="n"/>
      <c r="E471" s="29" t="n"/>
      <c r="F471" s="38" t="n"/>
      <c r="G471" s="37" t="n"/>
      <c r="H471" s="37" t="n"/>
      <c r="I471" s="49" t="n"/>
      <c r="J471" s="37" t="n"/>
      <c r="K471" s="29" t="n"/>
    </row>
    <row r="472">
      <c r="A472" s="32" t="n"/>
      <c r="B472" s="31" t="n"/>
      <c r="C472" s="31" t="n"/>
      <c r="D472" s="31" t="n"/>
      <c r="E472" s="31" t="n"/>
      <c r="F472" s="36" t="n"/>
      <c r="G472" s="35" t="n"/>
      <c r="H472" s="35" t="n"/>
      <c r="I472" s="48" t="n"/>
      <c r="J472" s="35" t="n"/>
      <c r="K472" s="31" t="n"/>
    </row>
    <row r="473">
      <c r="A473" s="30" t="n"/>
      <c r="B473" s="29" t="n"/>
      <c r="C473" s="29" t="n"/>
      <c r="D473" s="29" t="n"/>
      <c r="E473" s="29" t="n"/>
      <c r="F473" s="38" t="n"/>
      <c r="G473" s="37" t="n"/>
      <c r="H473" s="37" t="n"/>
      <c r="I473" s="49" t="n"/>
      <c r="J473" s="37" t="n"/>
      <c r="K473" s="29" t="n"/>
    </row>
    <row r="474">
      <c r="A474" s="32" t="n"/>
      <c r="B474" s="31" t="n"/>
      <c r="C474" s="31" t="n"/>
      <c r="D474" s="31" t="n"/>
      <c r="E474" s="31" t="n"/>
      <c r="F474" s="36" t="n"/>
      <c r="G474" s="35" t="n"/>
      <c r="H474" s="35" t="n"/>
      <c r="I474" s="48" t="n"/>
      <c r="J474" s="35" t="n"/>
      <c r="K474" s="31" t="n"/>
    </row>
    <row r="475">
      <c r="A475" s="30" t="n"/>
      <c r="B475" s="29" t="n"/>
      <c r="C475" s="29" t="n"/>
      <c r="D475" s="29" t="n"/>
      <c r="E475" s="29" t="n"/>
      <c r="F475" s="38" t="n"/>
      <c r="G475" s="37" t="n"/>
      <c r="H475" s="37" t="n"/>
      <c r="I475" s="49" t="n"/>
      <c r="J475" s="37" t="n"/>
      <c r="K475" s="29" t="n"/>
    </row>
    <row r="476">
      <c r="A476" s="32" t="n"/>
      <c r="B476" s="31" t="n"/>
      <c r="C476" s="31" t="n"/>
      <c r="D476" s="31" t="n"/>
      <c r="E476" s="31" t="n"/>
      <c r="F476" s="36" t="n"/>
      <c r="G476" s="35" t="n"/>
      <c r="H476" s="35" t="n"/>
      <c r="I476" s="48" t="n"/>
      <c r="J476" s="35" t="n"/>
      <c r="K476" s="31" t="n"/>
    </row>
    <row r="477">
      <c r="A477" s="30" t="n"/>
      <c r="B477" s="29" t="n"/>
      <c r="C477" s="29" t="n"/>
      <c r="D477" s="29" t="n"/>
      <c r="E477" s="29" t="n"/>
      <c r="F477" s="38" t="n"/>
      <c r="G477" s="37" t="n"/>
      <c r="H477" s="37" t="n"/>
      <c r="I477" s="49" t="n"/>
      <c r="J477" s="37" t="n"/>
      <c r="K477" s="29" t="n"/>
    </row>
    <row r="478">
      <c r="A478" s="32" t="n"/>
      <c r="B478" s="31" t="n"/>
      <c r="C478" s="31" t="n"/>
      <c r="D478" s="31" t="n"/>
      <c r="E478" s="31" t="n"/>
      <c r="F478" s="36" t="n"/>
      <c r="G478" s="35" t="n"/>
      <c r="H478" s="35" t="n"/>
      <c r="I478" s="48" t="n"/>
      <c r="J478" s="35" t="n"/>
      <c r="K478" s="31" t="n"/>
    </row>
    <row r="479">
      <c r="A479" s="30" t="n"/>
      <c r="B479" s="29" t="n"/>
      <c r="C479" s="29" t="n"/>
      <c r="D479" s="29" t="n"/>
      <c r="E479" s="29" t="n"/>
      <c r="F479" s="38" t="n"/>
      <c r="G479" s="37" t="n"/>
      <c r="H479" s="37" t="n"/>
      <c r="I479" s="49" t="n"/>
      <c r="J479" s="37" t="n"/>
      <c r="K479" s="29" t="n"/>
    </row>
    <row r="480">
      <c r="A480" s="32" t="n"/>
      <c r="B480" s="31" t="n"/>
      <c r="C480" s="31" t="n"/>
      <c r="D480" s="31" t="n"/>
      <c r="E480" s="31" t="n"/>
      <c r="F480" s="36" t="n"/>
      <c r="G480" s="35" t="n"/>
      <c r="H480" s="35" t="n"/>
      <c r="I480" s="48" t="n"/>
      <c r="J480" s="35" t="n"/>
      <c r="K480" s="31" t="n"/>
    </row>
    <row r="481">
      <c r="A481" s="30" t="n"/>
      <c r="B481" s="29" t="n"/>
      <c r="C481" s="29" t="n"/>
      <c r="D481" s="29" t="n"/>
      <c r="E481" s="29" t="n"/>
      <c r="F481" s="38" t="n"/>
      <c r="G481" s="37" t="n"/>
      <c r="H481" s="37" t="n"/>
      <c r="I481" s="49" t="n"/>
      <c r="J481" s="37" t="n"/>
      <c r="K481" s="29" t="n"/>
    </row>
    <row r="482">
      <c r="A482" s="32" t="n"/>
      <c r="B482" s="31" t="n"/>
      <c r="C482" s="31" t="n"/>
      <c r="D482" s="31" t="n"/>
      <c r="E482" s="31" t="n"/>
      <c r="F482" s="36" t="n"/>
      <c r="G482" s="35" t="n"/>
      <c r="H482" s="35" t="n"/>
      <c r="I482" s="48" t="n"/>
      <c r="J482" s="35" t="n"/>
      <c r="K482" s="31" t="n"/>
    </row>
    <row r="483">
      <c r="A483" s="30" t="n"/>
      <c r="B483" s="29" t="n"/>
      <c r="C483" s="29" t="n"/>
      <c r="D483" s="29" t="n"/>
      <c r="E483" s="29" t="n"/>
      <c r="F483" s="38" t="n"/>
      <c r="G483" s="37" t="n"/>
      <c r="H483" s="37" t="n"/>
      <c r="I483" s="49" t="n"/>
      <c r="J483" s="37" t="n"/>
      <c r="K483" s="29" t="n"/>
    </row>
    <row r="484">
      <c r="A484" s="32" t="n"/>
      <c r="B484" s="31" t="n"/>
      <c r="C484" s="31" t="n"/>
      <c r="D484" s="31" t="n"/>
      <c r="E484" s="31" t="n"/>
      <c r="F484" s="36" t="n"/>
      <c r="G484" s="35" t="n"/>
      <c r="H484" s="35" t="n"/>
      <c r="I484" s="48" t="n"/>
      <c r="J484" s="35" t="n"/>
      <c r="K484" s="31" t="n"/>
    </row>
    <row r="485">
      <c r="A485" s="30" t="n"/>
      <c r="B485" s="29" t="n"/>
      <c r="C485" s="29" t="n"/>
      <c r="D485" s="29" t="n"/>
      <c r="E485" s="29" t="n"/>
      <c r="F485" s="38" t="n"/>
      <c r="G485" s="37" t="n"/>
      <c r="H485" s="37" t="n"/>
      <c r="I485" s="49" t="n"/>
      <c r="J485" s="37" t="n"/>
      <c r="K485" s="29" t="n"/>
    </row>
    <row r="486">
      <c r="A486" s="32" t="n"/>
      <c r="B486" s="31" t="n"/>
      <c r="C486" s="31" t="n"/>
      <c r="D486" s="31" t="n"/>
      <c r="E486" s="31" t="n"/>
      <c r="F486" s="36" t="n"/>
      <c r="G486" s="35" t="n"/>
      <c r="H486" s="35" t="n"/>
      <c r="I486" s="48" t="n"/>
      <c r="J486" s="35" t="n"/>
      <c r="K486" s="31" t="n"/>
    </row>
    <row r="487">
      <c r="A487" s="30" t="n"/>
      <c r="B487" s="29" t="n"/>
      <c r="C487" s="29" t="n"/>
      <c r="D487" s="29" t="n"/>
      <c r="E487" s="29" t="n"/>
      <c r="F487" s="38" t="n"/>
      <c r="G487" s="37" t="n"/>
      <c r="H487" s="37" t="n"/>
      <c r="I487" s="49" t="n"/>
      <c r="J487" s="37" t="n"/>
      <c r="K487" s="29" t="n"/>
    </row>
    <row r="488">
      <c r="A488" s="32" t="n"/>
      <c r="B488" s="31" t="n"/>
      <c r="C488" s="31" t="n"/>
      <c r="D488" s="31" t="n"/>
      <c r="E488" s="31" t="n"/>
      <c r="F488" s="36" t="n"/>
      <c r="G488" s="35" t="n"/>
      <c r="H488" s="35" t="n"/>
      <c r="I488" s="48" t="n"/>
      <c r="J488" s="35" t="n"/>
      <c r="K488" s="31" t="n"/>
    </row>
    <row r="489">
      <c r="A489" s="30" t="n"/>
      <c r="B489" s="29" t="n"/>
      <c r="C489" s="29" t="n"/>
      <c r="D489" s="29" t="n"/>
      <c r="E489" s="29" t="n"/>
      <c r="F489" s="38" t="n"/>
      <c r="G489" s="37" t="n"/>
      <c r="H489" s="37" t="n"/>
      <c r="I489" s="49" t="n"/>
      <c r="J489" s="37" t="n"/>
      <c r="K489" s="29" t="n"/>
    </row>
    <row r="490">
      <c r="A490" s="32" t="n"/>
      <c r="B490" s="31" t="n"/>
      <c r="C490" s="31" t="n"/>
      <c r="D490" s="31" t="n"/>
      <c r="E490" s="31" t="n"/>
      <c r="F490" s="36" t="n"/>
      <c r="G490" s="35" t="n"/>
      <c r="H490" s="35" t="n"/>
      <c r="I490" s="48" t="n"/>
      <c r="J490" s="35" t="n"/>
      <c r="K490" s="31" t="n"/>
    </row>
    <row r="491">
      <c r="A491" s="30" t="n"/>
      <c r="B491" s="29" t="n"/>
      <c r="C491" s="29" t="n"/>
      <c r="D491" s="29" t="n"/>
      <c r="E491" s="29" t="n"/>
      <c r="F491" s="38" t="n"/>
      <c r="G491" s="37" t="n"/>
      <c r="H491" s="37" t="n"/>
      <c r="I491" s="49" t="n"/>
      <c r="J491" s="37" t="n"/>
      <c r="K491" s="29" t="n"/>
    </row>
    <row r="492">
      <c r="A492" s="32" t="n"/>
      <c r="B492" s="31" t="n"/>
      <c r="C492" s="31" t="n"/>
      <c r="D492" s="31" t="n"/>
      <c r="E492" s="31" t="n"/>
      <c r="F492" s="36" t="n"/>
      <c r="G492" s="35" t="n"/>
      <c r="H492" s="35" t="n"/>
      <c r="I492" s="48" t="n"/>
      <c r="J492" s="35" t="n"/>
      <c r="K492" s="31" t="n"/>
    </row>
    <row r="493">
      <c r="A493" s="30" t="n"/>
      <c r="B493" s="29" t="n"/>
      <c r="C493" s="29" t="n"/>
      <c r="D493" s="29" t="n"/>
      <c r="E493" s="29" t="n"/>
      <c r="F493" s="38" t="n"/>
      <c r="G493" s="37" t="n"/>
      <c r="H493" s="37" t="n"/>
      <c r="I493" s="49" t="n"/>
      <c r="J493" s="37" t="n"/>
      <c r="K493" s="29" t="n"/>
    </row>
    <row r="494">
      <c r="A494" s="32" t="n"/>
      <c r="B494" s="31" t="n"/>
      <c r="C494" s="31" t="n"/>
      <c r="D494" s="31" t="n"/>
      <c r="E494" s="31" t="n"/>
      <c r="F494" s="36" t="n"/>
      <c r="G494" s="35" t="n"/>
      <c r="H494" s="35" t="n"/>
      <c r="I494" s="48" t="n"/>
      <c r="J494" s="35" t="n"/>
      <c r="K494" s="31" t="n"/>
    </row>
    <row r="495">
      <c r="A495" s="30" t="n"/>
      <c r="B495" s="29" t="n"/>
      <c r="C495" s="29" t="n"/>
      <c r="D495" s="29" t="n"/>
      <c r="E495" s="29" t="n"/>
      <c r="F495" s="38" t="n"/>
      <c r="G495" s="37" t="n"/>
      <c r="H495" s="37" t="n"/>
      <c r="I495" s="49" t="n"/>
      <c r="J495" s="37" t="n"/>
      <c r="K495" s="29" t="n"/>
    </row>
    <row r="496">
      <c r="A496" s="32" t="n"/>
      <c r="B496" s="31" t="n"/>
      <c r="C496" s="31" t="n"/>
      <c r="D496" s="31" t="n"/>
      <c r="E496" s="31" t="n"/>
      <c r="F496" s="36" t="n"/>
      <c r="G496" s="35" t="n"/>
      <c r="H496" s="35" t="n"/>
      <c r="I496" s="48" t="n"/>
      <c r="J496" s="35" t="n"/>
      <c r="K496" s="31" t="n"/>
    </row>
    <row r="497">
      <c r="A497" s="30" t="n"/>
      <c r="B497" s="29" t="n"/>
      <c r="C497" s="29" t="n"/>
      <c r="D497" s="29" t="n"/>
      <c r="E497" s="29" t="n"/>
      <c r="F497" s="38" t="n"/>
      <c r="G497" s="37" t="n"/>
      <c r="H497" s="37" t="n"/>
      <c r="I497" s="49" t="n"/>
      <c r="J497" s="37" t="n"/>
      <c r="K497" s="29" t="n"/>
    </row>
    <row r="498">
      <c r="A498" s="32" t="n"/>
      <c r="B498" s="31" t="n"/>
      <c r="C498" s="31" t="n"/>
      <c r="D498" s="31" t="n"/>
      <c r="E498" s="31" t="n"/>
      <c r="F498" s="36" t="n"/>
      <c r="G498" s="35" t="n"/>
      <c r="H498" s="35" t="n"/>
      <c r="I498" s="48" t="n"/>
      <c r="J498" s="35" t="n"/>
      <c r="K498" s="31" t="n"/>
    </row>
    <row r="499">
      <c r="A499" s="30" t="n"/>
      <c r="B499" s="29" t="n"/>
      <c r="C499" s="29" t="n"/>
      <c r="D499" s="29" t="n"/>
      <c r="E499" s="29" t="n"/>
      <c r="F499" s="38" t="n"/>
      <c r="G499" s="37" t="n"/>
      <c r="H499" s="37" t="n"/>
      <c r="I499" s="49" t="n"/>
      <c r="J499" s="37" t="n"/>
      <c r="K499" s="29" t="n"/>
    </row>
    <row r="500">
      <c r="A500" s="32" t="n"/>
      <c r="B500" s="31" t="n"/>
      <c r="C500" s="31" t="n"/>
      <c r="D500" s="31" t="n"/>
      <c r="E500" s="31" t="n"/>
      <c r="F500" s="36" t="n"/>
      <c r="G500" s="35" t="n"/>
      <c r="H500" s="35" t="n"/>
      <c r="I500" s="48" t="n"/>
      <c r="J500" s="35" t="n"/>
      <c r="K500" s="31" t="n"/>
    </row>
  </sheetData>
  <autoFilter ref="A3:K500"/>
  <mergeCells count="2">
    <mergeCell ref="A2:K2"/>
    <mergeCell ref="A1:K1"/>
  </mergeCells>
  <dataValidations count="4">
    <dataValidation sqref="B4:B500" showDropDown="0" showInputMessage="0" showErrorMessage="0" allowBlank="1" type="list">
      <formula1>=F_Kennz</formula1>
    </dataValidation>
    <dataValidation sqref="C4:C500" showDropDown="0" showInputMessage="0" showErrorMessage="0" allowBlank="1" type="list">
      <formula1>=L_Typ</formula1>
    </dataValidation>
    <dataValidation sqref="D4:D500" showDropDown="0" showInputMessage="0" showErrorMessage="0" allowBlank="1" type="list">
      <formula1>=L_Wartung</formula1>
    </dataValidation>
    <dataValidation sqref="E4:E500" showDropDown="0" showInputMessage="0" showErrorMessage="0" allowBlank="1" type="list">
      <formula1>=L_Kosten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6100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3" customWidth="1" min="5" max="5"/>
    <col width="22" customWidth="1" min="6" max="6"/>
    <col width="16" customWidth="1" min="7" max="7"/>
    <col width="3" customWidth="1" min="8" max="8"/>
    <col width="14" customWidth="1" min="9" max="9"/>
    <col width="16" customWidth="1" min="10" max="10"/>
  </cols>
  <sheetData>
    <row r="1" ht="36" customHeight="1">
      <c r="A1" s="33" t="inlineStr">
        <is>
          <t>KOSTENÜBERSICHT &amp; AUSWERTUNG</t>
        </is>
      </c>
    </row>
    <row r="2" ht="18" customHeight="1">
      <c r="A2" s="2" t="inlineStr">
        <is>
          <t>Speist sich automatisch aus der Wartungshistorie.</t>
        </is>
      </c>
    </row>
    <row r="3" ht="26" customHeight="1">
      <c r="B3" s="50" t="inlineStr">
        <is>
          <t>Kosten je Fahrzeug</t>
        </is>
      </c>
      <c r="C3" s="50" t="n"/>
      <c r="D3" s="50" t="n"/>
      <c r="F3" s="50" t="inlineStr">
        <is>
          <t>Kosten je Kategorie</t>
        </is>
      </c>
      <c r="G3" s="50" t="n"/>
      <c r="I3" s="50" t="inlineStr">
        <is>
          <t>Kennzahlen</t>
        </is>
      </c>
      <c r="J3" s="50" t="n"/>
    </row>
    <row r="4" ht="26" customHeight="1">
      <c r="B4" s="28" t="inlineStr">
        <is>
          <t>Kennzeichen</t>
        </is>
      </c>
      <c r="C4" s="28" t="inlineStr">
        <is>
          <t>Anzahl Einträge</t>
        </is>
      </c>
      <c r="D4" s="28" t="inlineStr">
        <is>
          <t>Summe (€)</t>
        </is>
      </c>
      <c r="F4" s="28" t="inlineStr">
        <is>
          <t>Kategorie</t>
        </is>
      </c>
      <c r="G4" s="28" t="inlineStr">
        <is>
          <t>Summe (€)</t>
        </is>
      </c>
    </row>
    <row r="5">
      <c r="B5" s="37" t="inlineStr">
        <is>
          <t>B-AH 1001</t>
        </is>
      </c>
      <c r="C5" s="29">
        <f>COUNTIF(H_Kennz,B5)</f>
        <v/>
      </c>
      <c r="D5" s="49">
        <f>SUMIF(H_Kennz,B5,H_Kosten)</f>
        <v/>
      </c>
      <c r="F5" s="37" t="inlineStr">
        <is>
          <t>Wartung</t>
        </is>
      </c>
      <c r="G5" s="49">
        <f>SUMIF(H_Kat,F5,H_Kosten)</f>
        <v/>
      </c>
      <c r="I5" s="37" t="inlineStr">
        <is>
          <t>Fahrzeuge gesamt</t>
        </is>
      </c>
      <c r="J5" s="29">
        <f>COUNTA(F_Kennz)-COUNTBLANK(F_Kennz)</f>
        <v/>
      </c>
    </row>
    <row r="6">
      <c r="B6" s="51" t="inlineStr">
        <is>
          <t>B-AH 1002</t>
        </is>
      </c>
      <c r="C6" s="47">
        <f>COUNTIF(H_Kennz,B6)</f>
        <v/>
      </c>
      <c r="D6" s="52">
        <f>SUMIF(H_Kennz,B6,H_Kosten)</f>
        <v/>
      </c>
      <c r="F6" s="51" t="inlineStr">
        <is>
          <t>Reparatur</t>
        </is>
      </c>
      <c r="G6" s="52">
        <f>SUMIF(H_Kat,F6,H_Kosten)</f>
        <v/>
      </c>
      <c r="I6" s="51" t="inlineStr">
        <is>
          <t>Gesamtkosten (€)</t>
        </is>
      </c>
      <c r="J6" s="52">
        <f>SUM(H_Kosten)</f>
        <v/>
      </c>
    </row>
    <row r="7">
      <c r="B7" s="37" t="inlineStr">
        <is>
          <t>B-AH 2050</t>
        </is>
      </c>
      <c r="C7" s="29">
        <f>COUNTIF(H_Kennz,B7)</f>
        <v/>
      </c>
      <c r="D7" s="49">
        <f>SUMIF(H_Kennz,B7,H_Kosten)</f>
        <v/>
      </c>
      <c r="F7" s="37" t="inlineStr">
        <is>
          <t>Reifen</t>
        </is>
      </c>
      <c r="G7" s="49">
        <f>SUMIF(H_Kat,F7,H_Kosten)</f>
        <v/>
      </c>
      <c r="I7" s="37" t="inlineStr">
        <is>
          <t>Ø Kosten / Fahrzeug</t>
        </is>
      </c>
      <c r="J7" s="49">
        <f>IFERROR(SUM(H_Kosten)/(COUNTA(F_Kennz)-COUNTBLANK(F_Kennz)),0)</f>
        <v/>
      </c>
    </row>
    <row r="8">
      <c r="B8" s="51" t="inlineStr">
        <is>
          <t>B-AH 2051</t>
        </is>
      </c>
      <c r="C8" s="47">
        <f>COUNTIF(H_Kennz,B8)</f>
        <v/>
      </c>
      <c r="D8" s="52">
        <f>SUMIF(H_Kennz,B8,H_Kosten)</f>
        <v/>
      </c>
      <c r="F8" s="51" t="inlineStr">
        <is>
          <t>TÜV/HU</t>
        </is>
      </c>
      <c r="G8" s="52">
        <f>SUMIF(H_Kat,F8,H_Kosten)</f>
        <v/>
      </c>
      <c r="I8" s="51" t="inlineStr">
        <is>
          <t>Einträge Historie</t>
        </is>
      </c>
      <c r="J8" s="47">
        <f>COUNTA(H_Datum)-COUNTBLANK(H_Datum)</f>
        <v/>
      </c>
    </row>
    <row r="9">
      <c r="B9" s="37" t="inlineStr">
        <is>
          <t>B-AH 7800</t>
        </is>
      </c>
      <c r="C9" s="29">
        <f>COUNTIF(H_Kennz,B9)</f>
        <v/>
      </c>
      <c r="D9" s="49">
        <f>SUMIF(H_Kennz,B9,H_Kosten)</f>
        <v/>
      </c>
      <c r="F9" s="37" t="inlineStr">
        <is>
          <t>Versicherung</t>
        </is>
      </c>
      <c r="G9" s="49">
        <f>SUMIF(H_Kat,F9,H_Kosten)</f>
        <v/>
      </c>
      <c r="I9" s="37" t="inlineStr">
        <is>
          <t>Überfällige Wartungen</t>
        </is>
      </c>
      <c r="J9" s="29">
        <f>COUNTIF(Wartungsplan!$M$4:$M$300,"*🔴*")</f>
        <v/>
      </c>
    </row>
    <row r="10">
      <c r="B10" s="51" t="inlineStr">
        <is>
          <t>B-AH 7801</t>
        </is>
      </c>
      <c r="C10" s="47">
        <f>COUNTIF(H_Kennz,B10)</f>
        <v/>
      </c>
      <c r="D10" s="52">
        <f>SUMIF(H_Kennz,B10,H_Kosten)</f>
        <v/>
      </c>
      <c r="F10" s="51" t="inlineStr">
        <is>
          <t>Kraftstoff</t>
        </is>
      </c>
      <c r="G10" s="52">
        <f>SUMIF(H_Kat,F10,H_Kosten)</f>
        <v/>
      </c>
      <c r="I10" s="51" t="inlineStr">
        <is>
          <t>Bald fällige Wartungen</t>
        </is>
      </c>
      <c r="J10" s="47">
        <f>COUNTIF(Wartungsplan!$M$4:$M$300,"*🟡*")</f>
        <v/>
      </c>
    </row>
    <row r="11">
      <c r="B11" s="53" t="inlineStr">
        <is>
          <t>GESAMT</t>
        </is>
      </c>
      <c r="C11" s="54">
        <f>SUM(C5:C10)</f>
        <v/>
      </c>
      <c r="D11" s="55">
        <f>SUM(D5:D10)</f>
        <v/>
      </c>
      <c r="F11" s="37" t="inlineStr">
        <is>
          <t>Steuer</t>
        </is>
      </c>
      <c r="G11" s="49">
        <f>SUMIF(H_Kat,F11,H_Kosten)</f>
        <v/>
      </c>
    </row>
    <row r="12">
      <c r="F12" s="51" t="inlineStr">
        <is>
          <t>Sonstiges</t>
        </is>
      </c>
      <c r="G12" s="52">
        <f>SUMIF(H_Kat,F12,H_Kosten)</f>
        <v/>
      </c>
    </row>
  </sheetData>
  <mergeCells count="5">
    <mergeCell ref="F3:G3"/>
    <mergeCell ref="A1:J1"/>
    <mergeCell ref="B3:D3"/>
    <mergeCell ref="A2:J2"/>
    <mergeCell ref="I3:J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7" customWidth="1" min="3" max="3"/>
    <col width="16" customWidth="1" min="4" max="4"/>
    <col width="45" customWidth="1" min="5" max="5"/>
  </cols>
  <sheetData>
    <row r="1" ht="36" customHeight="1">
      <c r="A1" s="56" t="inlineStr">
        <is>
          <t>EMPFOHLENE WARTUNGSINTERVALLE</t>
        </is>
      </c>
    </row>
    <row r="2" ht="18" customHeight="1">
      <c r="A2" s="2" t="inlineStr">
        <is>
          <t>Richtwerte – Herstellerangaben haben Vorrang. Als Nachschlagewerk gedacht.</t>
        </is>
      </c>
    </row>
    <row r="3" ht="26" customHeight="1">
      <c r="A3" s="34" t="inlineStr">
        <is>
          <t>Fahrzeugtyp</t>
        </is>
      </c>
      <c r="B3" s="34" t="inlineStr">
        <is>
          <t>Wartungsart</t>
        </is>
      </c>
      <c r="C3" s="34" t="inlineStr">
        <is>
          <t>Intervall (Monate)</t>
        </is>
      </c>
      <c r="D3" s="34" t="inlineStr">
        <is>
          <t>Intervall (km)</t>
        </is>
      </c>
      <c r="E3" s="34" t="inlineStr">
        <is>
          <t>Hinweis</t>
        </is>
      </c>
    </row>
    <row r="4">
      <c r="A4" s="47" t="inlineStr">
        <is>
          <t>PKW</t>
        </is>
      </c>
      <c r="B4" s="47" t="inlineStr">
        <is>
          <t>Inspektion</t>
        </is>
      </c>
      <c r="C4" s="45" t="n">
        <v>12</v>
      </c>
      <c r="D4" s="45" t="n">
        <v>30000</v>
      </c>
      <c r="E4" s="51" t="inlineStr">
        <is>
          <t>Jährlich oder nach km – je nach was zuerst eintritt.</t>
        </is>
      </c>
    </row>
    <row r="5">
      <c r="A5" s="29" t="inlineStr">
        <is>
          <t>PKW</t>
        </is>
      </c>
      <c r="B5" s="29" t="inlineStr">
        <is>
          <t>Ölwechsel</t>
        </is>
      </c>
      <c r="C5" s="38" t="n">
        <v>12</v>
      </c>
      <c r="D5" s="38" t="n">
        <v>15000</v>
      </c>
      <c r="E5" s="37" t="inlineStr">
        <is>
          <t>Longlife-Öl bis 30.000 km möglich.</t>
        </is>
      </c>
    </row>
    <row r="6">
      <c r="A6" s="47" t="inlineStr">
        <is>
          <t>PKW</t>
        </is>
      </c>
      <c r="B6" s="47" t="inlineStr">
        <is>
          <t>HU/AU (TÜV)</t>
        </is>
      </c>
      <c r="C6" s="45" t="n">
        <v>24</v>
      </c>
      <c r="D6" s="45" t="n">
        <v>0</v>
      </c>
      <c r="E6" s="51" t="inlineStr">
        <is>
          <t>Neuwagen erst nach 36 Monaten, danach alle 24 Monate.</t>
        </is>
      </c>
    </row>
    <row r="7">
      <c r="A7" s="29" t="inlineStr">
        <is>
          <t>PKW</t>
        </is>
      </c>
      <c r="B7" s="29" t="inlineStr">
        <is>
          <t>Reifenwechsel</t>
        </is>
      </c>
      <c r="C7" s="38" t="n">
        <v>6</v>
      </c>
      <c r="D7" s="38" t="n">
        <v>0</v>
      </c>
      <c r="E7" s="37" t="inlineStr">
        <is>
          <t>Sommer/Winter – O-bis-O-Regel (Oktober bis Ostern).</t>
        </is>
      </c>
    </row>
    <row r="8">
      <c r="A8" s="47" t="inlineStr">
        <is>
          <t>PKW</t>
        </is>
      </c>
      <c r="B8" s="47" t="inlineStr">
        <is>
          <t>Bremsen</t>
        </is>
      </c>
      <c r="C8" s="45" t="n">
        <v>24</v>
      </c>
      <c r="D8" s="45" t="n">
        <v>40000</v>
      </c>
      <c r="E8" s="51" t="inlineStr">
        <is>
          <t>Beläge &amp; Scheiben prüfen; Bremsflüssigkeit alle 2 Jahre.</t>
        </is>
      </c>
    </row>
    <row r="9">
      <c r="A9" s="29" t="inlineStr">
        <is>
          <t>PKW</t>
        </is>
      </c>
      <c r="B9" s="29" t="inlineStr">
        <is>
          <t>Zahnriemen</t>
        </is>
      </c>
      <c r="C9" s="38" t="n">
        <v>0</v>
      </c>
      <c r="D9" s="38" t="n">
        <v>90000</v>
      </c>
      <c r="E9" s="37" t="inlineStr">
        <is>
          <t>Modellabhängig 60.000–120.000 km – Herstellerangabe!</t>
        </is>
      </c>
    </row>
    <row r="10">
      <c r="A10" s="47" t="inlineStr">
        <is>
          <t>PKW</t>
        </is>
      </c>
      <c r="B10" s="47" t="inlineStr">
        <is>
          <t>Klimaservice</t>
        </is>
      </c>
      <c r="C10" s="45" t="n">
        <v>24</v>
      </c>
      <c r="D10" s="45" t="n">
        <v>0</v>
      </c>
      <c r="E10" s="51" t="inlineStr">
        <is>
          <t>Kältemittel &amp; Filter, Desinfektion empfohlen.</t>
        </is>
      </c>
    </row>
    <row r="11">
      <c r="A11" s="29" t="inlineStr">
        <is>
          <t>Transporter</t>
        </is>
      </c>
      <c r="B11" s="29" t="inlineStr">
        <is>
          <t>Inspektion</t>
        </is>
      </c>
      <c r="C11" s="38" t="n">
        <v>12</v>
      </c>
      <c r="D11" s="38" t="n">
        <v>40000</v>
      </c>
      <c r="E11" s="37" t="inlineStr">
        <is>
          <t>Bei hoher Last häufiger.</t>
        </is>
      </c>
    </row>
    <row r="12">
      <c r="A12" s="47" t="inlineStr">
        <is>
          <t>Transporter</t>
        </is>
      </c>
      <c r="B12" s="47" t="inlineStr">
        <is>
          <t>Ölwechsel</t>
        </is>
      </c>
      <c r="C12" s="45" t="n">
        <v>12</v>
      </c>
      <c r="D12" s="45" t="n">
        <v>30000</v>
      </c>
      <c r="E12" s="51" t="inlineStr"/>
    </row>
    <row r="13">
      <c r="A13" s="29" t="inlineStr">
        <is>
          <t>Transporter</t>
        </is>
      </c>
      <c r="B13" s="29" t="inlineStr">
        <is>
          <t>HU/AU (TÜV)</t>
        </is>
      </c>
      <c r="C13" s="38" t="n">
        <v>12</v>
      </c>
      <c r="D13" s="38" t="n">
        <v>0</v>
      </c>
      <c r="E13" s="37" t="inlineStr">
        <is>
          <t>Nutzfahrzeuge meist jährlich.</t>
        </is>
      </c>
    </row>
    <row r="14">
      <c r="A14" s="47" t="inlineStr">
        <is>
          <t>Transporter</t>
        </is>
      </c>
      <c r="B14" s="47" t="inlineStr">
        <is>
          <t>Bremsen</t>
        </is>
      </c>
      <c r="C14" s="45" t="n">
        <v>12</v>
      </c>
      <c r="D14" s="45" t="n">
        <v>50000</v>
      </c>
      <c r="E14" s="51" t="inlineStr">
        <is>
          <t>Höherer Verschleiß durch Beladung.</t>
        </is>
      </c>
    </row>
    <row r="15">
      <c r="A15" s="29" t="inlineStr">
        <is>
          <t>Transporter</t>
        </is>
      </c>
      <c r="B15" s="29" t="inlineStr">
        <is>
          <t>Reifenwechsel</t>
        </is>
      </c>
      <c r="C15" s="38" t="n">
        <v>6</v>
      </c>
      <c r="D15" s="38" t="n">
        <v>0</v>
      </c>
      <c r="E15" s="37" t="inlineStr"/>
    </row>
    <row r="16">
      <c r="A16" s="47" t="inlineStr">
        <is>
          <t>LKW</t>
        </is>
      </c>
      <c r="B16" s="47" t="inlineStr">
        <is>
          <t>Inspektion</t>
        </is>
      </c>
      <c r="C16" s="45" t="n">
        <v>6</v>
      </c>
      <c r="D16" s="45" t="n">
        <v>60000</v>
      </c>
      <c r="E16" s="51" t="inlineStr">
        <is>
          <t>Je nach Einsatz &amp; Hersteller; oft km-getrieben.</t>
        </is>
      </c>
    </row>
    <row r="17">
      <c r="A17" s="29" t="inlineStr">
        <is>
          <t>LKW</t>
        </is>
      </c>
      <c r="B17" s="29" t="inlineStr">
        <is>
          <t>Ölwechsel</t>
        </is>
      </c>
      <c r="C17" s="38" t="n">
        <v>12</v>
      </c>
      <c r="D17" s="38" t="n">
        <v>80000</v>
      </c>
      <c r="E17" s="37" t="inlineStr">
        <is>
          <t>Long-Drain-Öle beachten.</t>
        </is>
      </c>
    </row>
    <row r="18">
      <c r="A18" s="47" t="inlineStr">
        <is>
          <t>LKW</t>
        </is>
      </c>
      <c r="B18" s="47" t="inlineStr">
        <is>
          <t>HU (TÜV)</t>
        </is>
      </c>
      <c r="C18" s="45" t="n">
        <v>12</v>
      </c>
      <c r="D18" s="45" t="n">
        <v>0</v>
      </c>
      <c r="E18" s="51" t="inlineStr">
        <is>
          <t>Jährliche Hauptuntersuchung.</t>
        </is>
      </c>
    </row>
    <row r="19">
      <c r="A19" s="29" t="inlineStr">
        <is>
          <t>LKW</t>
        </is>
      </c>
      <c r="B19" s="29" t="inlineStr">
        <is>
          <t>SP (Sicherheitsprüfung)</t>
        </is>
      </c>
      <c r="C19" s="38" t="n">
        <v>6</v>
      </c>
      <c r="D19" s="38" t="n">
        <v>0</v>
      </c>
      <c r="E19" s="37" t="inlineStr">
        <is>
          <t>Zusätzlich zur HU, alle 6 Monate (ab 7,5 t).</t>
        </is>
      </c>
    </row>
    <row r="20">
      <c r="A20" s="47" t="inlineStr">
        <is>
          <t>LKW</t>
        </is>
      </c>
      <c r="B20" s="47" t="inlineStr">
        <is>
          <t>Tachograph</t>
        </is>
      </c>
      <c r="C20" s="45" t="n">
        <v>24</v>
      </c>
      <c r="D20" s="45" t="n">
        <v>0</v>
      </c>
      <c r="E20" s="51" t="inlineStr">
        <is>
          <t>Prüfpflicht alle 2 Jahre (digitaler Tacho).</t>
        </is>
      </c>
    </row>
    <row r="21">
      <c r="A21" s="29" t="inlineStr">
        <is>
          <t>LKW</t>
        </is>
      </c>
      <c r="B21" s="29" t="inlineStr">
        <is>
          <t>Bremsen</t>
        </is>
      </c>
      <c r="C21" s="38" t="n">
        <v>6</v>
      </c>
      <c r="D21" s="38" t="n">
        <v>80000</v>
      </c>
      <c r="E21" s="37" t="inlineStr">
        <is>
          <t>Sicherheitskritisch – regelmäßig prüfen.</t>
        </is>
      </c>
    </row>
    <row r="22">
      <c r="A22" s="47" t="inlineStr">
        <is>
          <t>LKW</t>
        </is>
      </c>
      <c r="B22" s="47" t="inlineStr">
        <is>
          <t>Reifenwechsel</t>
        </is>
      </c>
      <c r="C22" s="45" t="n">
        <v>0</v>
      </c>
      <c r="D22" s="45" t="n">
        <v>80000</v>
      </c>
      <c r="E22" s="51" t="inlineStr">
        <is>
          <t>Profil &amp; Druck wöchentlich kontrollieren.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2" customWidth="1" min="4" max="4"/>
    <col width="22" customWidth="1" min="5" max="5"/>
  </cols>
  <sheetData>
    <row r="1" ht="36" customHeight="1">
      <c r="A1" s="56" t="inlineStr">
        <is>
          <t>AUSWAHLLISTEN  (für Dropdown-Menüs)</t>
        </is>
      </c>
    </row>
    <row r="2" ht="18" customHeight="1">
      <c r="A2" s="2" t="inlineStr">
        <is>
          <t>Bei Bedarf erweitern – die Dropdowns aktualisieren sich automatisch.</t>
        </is>
      </c>
    </row>
    <row r="3" ht="26" customHeight="1">
      <c r="A3" s="34" t="inlineStr">
        <is>
          <t>Fahrzeugtyp</t>
        </is>
      </c>
      <c r="B3" s="34" t="inlineStr">
        <is>
          <t>Wartungsart</t>
        </is>
      </c>
      <c r="C3" s="34" t="inlineStr">
        <is>
          <t>Status</t>
        </is>
      </c>
      <c r="D3" s="34" t="inlineStr">
        <is>
          <t>Kostenkategorie</t>
        </is>
      </c>
      <c r="E3" s="34" t="inlineStr">
        <is>
          <t>Kraftstoff</t>
        </is>
      </c>
    </row>
    <row r="4">
      <c r="A4" s="51" t="inlineStr">
        <is>
          <t>PKW</t>
        </is>
      </c>
      <c r="B4" s="51" t="inlineStr">
        <is>
          <t>Inspektion</t>
        </is>
      </c>
      <c r="C4" s="51" t="inlineStr">
        <is>
          <t>Aktiv</t>
        </is>
      </c>
      <c r="D4" s="51" t="inlineStr">
        <is>
          <t>Wartung</t>
        </is>
      </c>
      <c r="E4" s="51" t="inlineStr">
        <is>
          <t>Diesel</t>
        </is>
      </c>
    </row>
    <row r="5">
      <c r="A5" s="37" t="inlineStr">
        <is>
          <t>Transporter</t>
        </is>
      </c>
      <c r="B5" s="37" t="inlineStr">
        <is>
          <t>Ölwechsel</t>
        </is>
      </c>
      <c r="C5" s="37" t="inlineStr">
        <is>
          <t>In Werkstatt</t>
        </is>
      </c>
      <c r="D5" s="37" t="inlineStr">
        <is>
          <t>Reparatur</t>
        </is>
      </c>
      <c r="E5" s="37" t="inlineStr">
        <is>
          <t>Benzin</t>
        </is>
      </c>
    </row>
    <row r="6">
      <c r="A6" s="51" t="inlineStr">
        <is>
          <t>LKW</t>
        </is>
      </c>
      <c r="B6" s="51" t="inlineStr">
        <is>
          <t>HU/AU (TÜV)</t>
        </is>
      </c>
      <c r="C6" s="51" t="inlineStr">
        <is>
          <t>Stillgelegt</t>
        </is>
      </c>
      <c r="D6" s="51" t="inlineStr">
        <is>
          <t>Reifen</t>
        </is>
      </c>
      <c r="E6" s="51" t="inlineStr">
        <is>
          <t>Elektro</t>
        </is>
      </c>
    </row>
    <row r="7">
      <c r="A7" s="37" t="inlineStr">
        <is>
          <t>Anhänger</t>
        </is>
      </c>
      <c r="B7" s="37" t="inlineStr">
        <is>
          <t>Reifenwechsel</t>
        </is>
      </c>
      <c r="C7" s="37" t="inlineStr">
        <is>
          <t>Verkauft</t>
        </is>
      </c>
      <c r="D7" s="37" t="inlineStr">
        <is>
          <t>TÜV/HU</t>
        </is>
      </c>
      <c r="E7" s="37" t="inlineStr">
        <is>
          <t>Hybrid</t>
        </is>
      </c>
    </row>
    <row r="8">
      <c r="A8" s="51" t="inlineStr">
        <is>
          <t>Sonstiges</t>
        </is>
      </c>
      <c r="B8" s="51" t="inlineStr">
        <is>
          <t>Bremsen</t>
        </is>
      </c>
      <c r="D8" s="51" t="inlineStr">
        <is>
          <t>Versicherung</t>
        </is>
      </c>
      <c r="E8" s="51" t="inlineStr">
        <is>
          <t>LPG/CNG</t>
        </is>
      </c>
    </row>
    <row r="9">
      <c r="B9" s="37" t="inlineStr">
        <is>
          <t>Zahnriemen</t>
        </is>
      </c>
      <c r="D9" s="37" t="inlineStr">
        <is>
          <t>Kraftstoff</t>
        </is>
      </c>
      <c r="E9" s="37" t="inlineStr">
        <is>
          <t>Wasserstoff</t>
        </is>
      </c>
    </row>
    <row r="10">
      <c r="B10" s="51" t="inlineStr">
        <is>
          <t>Klimaservice</t>
        </is>
      </c>
      <c r="D10" s="51" t="inlineStr">
        <is>
          <t>Steuer</t>
        </is>
      </c>
    </row>
    <row r="11">
      <c r="B11" s="37" t="inlineStr">
        <is>
          <t>Batterie</t>
        </is>
      </c>
      <c r="D11" s="37" t="inlineStr">
        <is>
          <t>Sonstiges</t>
        </is>
      </c>
    </row>
    <row r="12">
      <c r="B12" s="51" t="inlineStr">
        <is>
          <t>Kühlmittel</t>
        </is>
      </c>
    </row>
    <row r="13">
      <c r="B13" s="37" t="inlineStr">
        <is>
          <t>Filterwechsel</t>
        </is>
      </c>
    </row>
    <row r="14">
      <c r="B14" s="51" t="inlineStr">
        <is>
          <t>SP (Sicherheitsprüfung)</t>
        </is>
      </c>
    </row>
    <row r="15">
      <c r="B15" s="37" t="inlineStr">
        <is>
          <t>Tachograph</t>
        </is>
      </c>
    </row>
    <row r="16">
      <c r="B16" s="51" t="inlineStr">
        <is>
          <t>Sonstiges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2026-06-13T18:03:40Z</dcterms:created>
  <dcterms:modified xsi:type="dcterms:W3CDTF">2026-06-13T18:03:40Z</dcterms:modified>
</cp:coreProperties>
</file>