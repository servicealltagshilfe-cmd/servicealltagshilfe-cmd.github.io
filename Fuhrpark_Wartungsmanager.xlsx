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Anleitung" sheetId="1" state="visible" r:id="rId1"/>
    <sheet name="Dashboard" sheetId="2" state="visible" r:id="rId2"/>
    <sheet name="Fahrzeuge" sheetId="3" state="visible" r:id="rId3"/>
    <sheet name="Wartungsplan" sheetId="4" state="visible" r:id="rId4"/>
    <sheet name="Wartungshistorie" sheetId="5" state="visible" r:id="rId5"/>
    <sheet name="Tankkosten" sheetId="6" state="visible" r:id="rId6"/>
    <sheet name="Leasing &amp; Verträge" sheetId="7" state="visible" r:id="rId7"/>
    <sheet name="Kostenübersicht" sheetId="8" state="visible" r:id="rId8"/>
    <sheet name="Intervall-Vorlagen" sheetId="9" state="visible" r:id="rId9"/>
    <sheet name="Listen" sheetId="10" state="visible" r:id="rId10"/>
  </sheets>
  <definedNames>
    <definedName name="L_Typ">Listen!$A$4:$A$8</definedName>
    <definedName name="L_Wartung">Listen!$B$4:$B$16</definedName>
    <definedName name="L_Status">Listen!$C$4:$C$7</definedName>
    <definedName name="L_Kosten">Listen!$D$4:$D$11</definedName>
    <definedName name="L_Kraft">Listen!$E$4:$E$9</definedName>
    <definedName name="L_Vertrag">Listen!$F$4:$F$7</definedName>
    <definedName name="F_Kennz">Fahrzeuge!$A$4:$A$200</definedName>
    <definedName name="F_Tabelle">Fahrzeuge!$A$4:$O$200</definedName>
    <definedName name="H_Kennz">Wartungshistorie!$B$4:$B$500</definedName>
    <definedName name="H_Kat">Wartungshistorie!$E$4:$E$500</definedName>
    <definedName name="H_Kosten">Wartungshistorie!$I$4:$I$500</definedName>
    <definedName name="H_Datum">Wartungshistorie!$A$4:$A$500</definedName>
    <definedName name="T_Kennz">Tankkosten!$B$4:$B$600</definedName>
    <definedName name="T_Gesamt">Tankkosten!$F$4:$F$600</definedName>
    <definedName name="T_Liter">Tankkosten!$D$4:$D$600</definedName>
    <definedName name="V_Ende">'Leasing &amp; Verträge'!$G$4:$G$200</definedName>
    <definedName name="V_Rate">'Leasing &amp; Verträge'!$I$4:$I$200</definedName>
    <definedName name="V_Steuer">'Leasing &amp; Verträge'!$M$4:$M$200</definedName>
    <definedName name="_xlnm._FilterDatabase" localSheetId="2" hidden="1">'Fahrzeuge'!$A$3:$O$200</definedName>
    <definedName name="_xlnm._FilterDatabase" localSheetId="3" hidden="1">'Wartungsplan'!$A$3:$N$300</definedName>
    <definedName name="_xlnm._FilterDatabase" localSheetId="4" hidden="1">'Wartungshistorie'!$A$3:$K$500</definedName>
    <definedName name="_xlnm._FilterDatabase" localSheetId="5" hidden="1">'Tankkosten'!$A$3:$L$600</definedName>
    <definedName name="_xlnm._FilterDatabase" localSheetId="6" hidden="1">'Leasing &amp; Verträge'!$A$3:$P$200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.MM.YYYY"/>
    <numFmt numFmtId="166" formatCode="#,##0.00 €"/>
    <numFmt numFmtId="167" formatCode="0.000 €"/>
    <numFmt numFmtId="168" formatCode="0.0"/>
  </numFmts>
  <fonts count="21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i val="1"/>
      <color rgb="00FFFFFF"/>
      <sz val="10"/>
    </font>
    <font>
      <sz val="10"/>
    </font>
    <font>
      <name val="Calibri"/>
      <b val="1"/>
      <color rgb="001F3864"/>
      <sz val="13"/>
    </font>
    <font>
      <b val="1"/>
      <sz val="10"/>
    </font>
    <font>
      <name val="Calibri"/>
      <b val="1"/>
      <color rgb="00FFFFFF"/>
      <sz val="11"/>
    </font>
    <font>
      <name val="Calibri"/>
      <b val="1"/>
      <color rgb="001F3864"/>
      <sz val="10"/>
    </font>
    <font>
      <i val="1"/>
      <color rgb="00808080"/>
      <sz val="9"/>
    </font>
    <font>
      <name val="Calibri"/>
      <b val="1"/>
      <color rgb="00FFFFFF"/>
      <sz val="13"/>
    </font>
    <font>
      <name val="Calibri"/>
      <b val="1"/>
      <color rgb="00FFFFFF"/>
      <sz val="14"/>
    </font>
    <font>
      <name val="Calibri"/>
      <b val="1"/>
      <color rgb="001F3864"/>
      <sz val="11"/>
    </font>
    <font>
      <name val="Calibri"/>
      <b val="1"/>
      <color rgb="001F3864"/>
      <sz val="12"/>
    </font>
    <font>
      <b val="1"/>
      <color rgb="002E5496"/>
      <sz val="22"/>
    </font>
    <font>
      <b val="1"/>
      <color rgb="00C00000"/>
      <sz val="22"/>
    </font>
    <font>
      <b val="1"/>
      <color rgb="009C6500"/>
      <sz val="22"/>
    </font>
    <font>
      <b val="1"/>
      <color rgb="00006100"/>
      <sz val="22"/>
    </font>
    <font>
      <b val="1"/>
      <color rgb="00ED7D31"/>
      <sz val="22"/>
    </font>
    <font>
      <b val="1"/>
      <color rgb="007030A0"/>
      <sz val="22"/>
    </font>
    <font>
      <b val="1"/>
      <color rgb="001F3864"/>
      <sz val="22"/>
    </font>
    <font>
      <i val="1"/>
      <color rgb="001F3864"/>
      <sz val="10"/>
    </font>
  </fonts>
  <fills count="1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2F2F2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FFFFF"/>
      </patternFill>
    </fill>
    <fill>
      <patternFill patternType="solid">
        <fgColor rgb="00D6E0F0"/>
      </patternFill>
    </fill>
    <fill>
      <patternFill patternType="solid">
        <fgColor rgb="008EAADB"/>
      </patternFill>
    </fill>
    <fill>
      <patternFill patternType="solid">
        <fgColor rgb="00ED7D31"/>
      </patternFill>
    </fill>
    <fill>
      <patternFill patternType="solid">
        <fgColor rgb="00C00000"/>
      </patternFill>
    </fill>
    <fill>
      <patternFill patternType="solid">
        <fgColor rgb="009C6500"/>
      </patternFill>
    </fill>
    <fill>
      <patternFill patternType="solid">
        <fgColor rgb="00006100"/>
      </patternFill>
    </fill>
    <fill>
      <patternFill patternType="solid">
        <fgColor rgb="007030A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4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left" vertical="center" wrapText="1"/>
    </xf>
    <xf numFmtId="0" fontId="3" fillId="6" borderId="0" applyAlignment="1" pivotButton="0" quotePrefix="0" xfId="0">
      <alignment horizontal="left" vertical="center" wrapText="1"/>
    </xf>
    <xf numFmtId="0" fontId="3" fillId="7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12" fillId="4" borderId="1" applyAlignment="1" pivotButton="0" quotePrefix="0" xfId="0">
      <alignment horizontal="left" vertical="center" indent="1"/>
    </xf>
    <xf numFmtId="0" fontId="0" fillId="0" borderId="1" pivotButton="0" quotePrefix="0" xfId="0"/>
    <xf numFmtId="0" fontId="6" fillId="3" borderId="1" applyAlignment="1" pivotButton="0" quotePrefix="0" xfId="0">
      <alignment horizontal="left" vertical="center" indent="1"/>
    </xf>
    <xf numFmtId="0" fontId="6" fillId="12" borderId="1" applyAlignment="1" pivotButton="0" quotePrefix="0" xfId="0">
      <alignment horizontal="left" vertical="center" indent="1"/>
    </xf>
    <xf numFmtId="3" fontId="13" fillId="8" borderId="1" applyAlignment="1" pivotButton="0" quotePrefix="0" xfId="0">
      <alignment horizontal="center" vertical="center"/>
    </xf>
    <xf numFmtId="3" fontId="14" fillId="8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 indent="1"/>
    </xf>
    <xf numFmtId="0" fontId="6" fillId="14" borderId="1" applyAlignment="1" pivotButton="0" quotePrefix="0" xfId="0">
      <alignment horizontal="left" vertical="center" indent="1"/>
    </xf>
    <xf numFmtId="3" fontId="15" fillId="8" borderId="1" applyAlignment="1" pivotButton="0" quotePrefix="0" xfId="0">
      <alignment horizontal="center" vertical="center"/>
    </xf>
    <xf numFmtId="3" fontId="16" fillId="8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 indent="1"/>
    </xf>
    <xf numFmtId="0" fontId="6" fillId="15" borderId="1" applyAlignment="1" pivotButton="0" quotePrefix="0" xfId="0">
      <alignment horizontal="left" vertical="center" indent="1"/>
    </xf>
    <xf numFmtId="3" fontId="17" fillId="8" borderId="1" applyAlignment="1" pivotButton="0" quotePrefix="0" xfId="0">
      <alignment horizontal="center" vertical="center"/>
    </xf>
    <xf numFmtId="3" fontId="18" fillId="8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left" vertical="center" indent="1"/>
    </xf>
    <xf numFmtId="166" fontId="19" fillId="8" borderId="1" applyAlignment="1" pivotButton="0" quotePrefix="0" xfId="0">
      <alignment horizontal="center" vertical="center"/>
    </xf>
    <xf numFmtId="0" fontId="20" fillId="4" borderId="0" applyAlignment="1" pivotButton="0" quotePrefix="0" xfId="0">
      <alignment horizontal="left" vertical="center" indent="1"/>
    </xf>
    <xf numFmtId="0" fontId="6" fillId="2" borderId="0" applyAlignment="1" pivotButton="0" quotePrefix="0" xfId="0">
      <alignment horizontal="left" vertical="center" indent="1"/>
    </xf>
    <xf numFmtId="0" fontId="11" fillId="10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165" fontId="0" fillId="8" borderId="1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 vertical="center" wrapText="1"/>
    </xf>
    <xf numFmtId="165" fontId="0" fillId="9" borderId="1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left" vertical="center" indent="1"/>
    </xf>
    <xf numFmtId="0" fontId="6" fillId="2" borderId="1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left" vertical="center" wrapText="1"/>
    </xf>
    <xf numFmtId="3" fontId="0" fillId="9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left" vertical="center" wrapText="1"/>
    </xf>
    <xf numFmtId="3" fontId="0" fillId="8" borderId="1" applyAlignment="1" pivotButton="0" quotePrefix="0" xfId="0">
      <alignment horizontal="center" vertical="center" wrapText="1"/>
    </xf>
    <xf numFmtId="0" fontId="0" fillId="9" borderId="1" pivotButton="0" quotePrefix="0" xfId="0"/>
    <xf numFmtId="165" fontId="0" fillId="9" borderId="1" pivotButton="0" quotePrefix="0" xfId="0"/>
    <xf numFmtId="3" fontId="0" fillId="9" borderId="1" pivotButton="0" quotePrefix="0" xfId="0"/>
    <xf numFmtId="0" fontId="0" fillId="8" borderId="1" pivotButton="0" quotePrefix="0" xfId="0"/>
    <xf numFmtId="165" fontId="0" fillId="8" borderId="1" pivotButton="0" quotePrefix="0" xfId="0"/>
    <xf numFmtId="3" fontId="0" fillId="8" borderId="1" pivotButton="0" quotePrefix="0" xfId="0"/>
    <xf numFmtId="3" fontId="0" fillId="4" borderId="1" applyAlignment="1" pivotButton="0" quotePrefix="0" xfId="0">
      <alignment horizontal="center" vertical="center" wrapText="1"/>
    </xf>
    <xf numFmtId="165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166" fontId="0" fillId="9" borderId="1" applyAlignment="1" pivotButton="0" quotePrefix="0" xfId="0">
      <alignment horizontal="center" vertical="center" wrapText="1"/>
    </xf>
    <xf numFmtId="166" fontId="0" fillId="8" borderId="1" applyAlignment="1" pivotButton="0" quotePrefix="0" xfId="0">
      <alignment horizontal="center" vertical="center" wrapText="1"/>
    </xf>
    <xf numFmtId="2" fontId="0" fillId="9" borderId="1" applyAlignment="1" pivotButton="0" quotePrefix="0" xfId="0">
      <alignment horizontal="center" vertical="center" wrapText="1"/>
    </xf>
    <xf numFmtId="167" fontId="0" fillId="9" borderId="1" applyAlignment="1" pivotButton="0" quotePrefix="0" xfId="0">
      <alignment horizontal="center" vertical="center" wrapText="1"/>
    </xf>
    <xf numFmtId="166" fontId="0" fillId="4" borderId="1" applyAlignment="1" pivotButton="0" quotePrefix="0" xfId="0">
      <alignment horizontal="center" vertical="center" wrapText="1"/>
    </xf>
    <xf numFmtId="168" fontId="0" fillId="4" borderId="1" applyAlignment="1" pivotButton="0" quotePrefix="0" xfId="0">
      <alignment horizontal="center" vertical="center" wrapText="1"/>
    </xf>
    <xf numFmtId="167" fontId="0" fillId="4" borderId="1" applyAlignment="1" pivotButton="0" quotePrefix="0" xfId="0">
      <alignment horizontal="center" vertical="center" wrapText="1"/>
    </xf>
    <xf numFmtId="2" fontId="0" fillId="8" borderId="1" applyAlignment="1" pivotButton="0" quotePrefix="0" xfId="0">
      <alignment horizontal="center" vertical="center" wrapText="1"/>
    </xf>
    <xf numFmtId="167" fontId="0" fillId="8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 wrapText="1"/>
    </xf>
    <xf numFmtId="0" fontId="6" fillId="11" borderId="1" pivotButton="0" quotePrefix="0" xfId="0"/>
    <xf numFmtId="166" fontId="6" fillId="11" borderId="1" applyAlignment="1" pivotButton="0" quotePrefix="0" xfId="0">
      <alignment horizontal="center" vertical="center" wrapText="1"/>
    </xf>
    <xf numFmtId="0" fontId="9" fillId="2" borderId="0" applyAlignment="1" pivotButton="0" quotePrefix="0" xfId="0">
      <alignment horizontal="left" vertical="center" indent="1"/>
    </xf>
  </cellXfs>
  <cellStyles count="1">
    <cellStyle name="Normal" xfId="0" builtinId="0" hidden="0"/>
  </cellStyles>
  <dxfs count="5"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9C6500"/>
      </font>
      <fill>
        <patternFill patternType="solid">
          <fgColor rgb="00FFEB9C"/>
        </patternFill>
      </fill>
    </dxf>
    <dxf>
      <font>
        <b val="1"/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Kosten je Kategorie (€)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'Kostenübersicht'!G4</f>
            </strRef>
          </tx>
          <spPr>
            <a:ln>
              <a:prstDash val="solid"/>
            </a:ln>
          </spPr>
          <cat>
            <numRef>
              <f>'Kostenübersicht'!$F$5:$F$12</f>
            </numRef>
          </cat>
          <val>
            <numRef>
              <f>'Kostenübersicht'!$G$5:$G$12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Wartungskosten je Fahrzeug</a:t>
            </a:r>
          </a:p>
        </rich>
      </tx>
    </title>
    <plotArea>
      <pieChart>
        <varyColors val="1"/>
        <ser>
          <idx val="0"/>
          <order val="0"/>
          <tx>
            <strRef>
              <f>'Kostenübersicht'!C4</f>
            </strRef>
          </tx>
          <spPr>
            <a:ln>
              <a:prstDash val="solid"/>
            </a:ln>
          </spPr>
          <cat>
            <numRef>
              <f>'Kostenübersicht'!$B$5:$B$10</f>
            </numRef>
          </cat>
          <val>
            <numRef>
              <f>'Kostenübersicht'!$C$5:$C$10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2</col>
      <colOff>0</colOff>
      <row>3</row>
      <rowOff>0</rowOff>
    </from>
    <ext cx="2000250" cy="6667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1885950" cy="6286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15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15</row>
      <rowOff>0</rowOff>
    </from>
    <ext cx="432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tabColor rgb="008EAADB"/>
    <outlinePr summaryBelow="1" summaryRight="1"/>
    <pageSetUpPr/>
  </sheetPr>
  <dimension ref="A1:D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0" customWidth="1" min="2" max="2"/>
    <col width="60" customWidth="1" min="3" max="3"/>
    <col width="3" customWidth="1" min="4" max="4"/>
  </cols>
  <sheetData>
    <row r="1" ht="36" customHeight="1">
      <c r="A1" s="1" t="inlineStr">
        <is>
          <t>🚚  FUHRPARK- &amp; WARTUNGSMANAGER</t>
        </is>
      </c>
    </row>
    <row r="2" ht="18" customHeight="1">
      <c r="A2" s="2" t="inlineStr">
        <is>
          <t>Professionelle Verwaltung von PKW-, Transporter- und LKW-Flotten</t>
        </is>
      </c>
    </row>
    <row r="3">
      <c r="B3" s="3" t="inlineStr"/>
      <c r="C3" s="3" t="inlineStr"/>
    </row>
    <row r="4" ht="24" customHeight="1">
      <c r="B4" s="4" t="inlineStr">
        <is>
          <t>📋 So funktioniert die Datei</t>
        </is>
      </c>
    </row>
    <row r="5">
      <c r="B5" s="5" t="inlineStr">
        <is>
          <t>Diese Arbeitsmappe verwaltet Ihren kompletten Fuhrpark – egal ob 3 oder 300 Fahrzeuge. Alle Berechnungen, Erinnerungen und Auswertungen laufen automatisch.</t>
        </is>
      </c>
      <c r="C5" s="3" t="inlineStr"/>
    </row>
    <row r="6">
      <c r="B6" s="3" t="inlineStr"/>
      <c r="C6" s="3" t="inlineStr"/>
    </row>
    <row r="7" ht="20" customHeight="1">
      <c r="B7" s="6" t="inlineStr">
        <is>
          <t>Arbeitsblatt</t>
        </is>
      </c>
      <c r="C7" s="6" t="inlineStr">
        <is>
          <t>Wofür Sie es nutzen</t>
        </is>
      </c>
    </row>
    <row r="8">
      <c r="B8" s="7" t="inlineStr">
        <is>
          <t>① Dashboard</t>
        </is>
      </c>
      <c r="C8" s="8" t="inlineStr">
        <is>
          <t>Überblick: Fahrzeuge, fällige Wartungen, Tank- &amp; Gesamtkosten, auslaufende Verträge.</t>
        </is>
      </c>
    </row>
    <row r="9">
      <c r="B9" s="7" t="inlineStr">
        <is>
          <t>② Fahrzeuge</t>
        </is>
      </c>
      <c r="C9" s="8" t="inlineStr">
        <is>
          <t>Stammdaten jedes Fahrzeugs. HIER zuerst eintragen.</t>
        </is>
      </c>
    </row>
    <row r="10">
      <c r="B10" s="7" t="inlineStr">
        <is>
          <t>③ Wartungsplan</t>
        </is>
      </c>
      <c r="C10" s="8" t="inlineStr">
        <is>
          <t>Pro Fahrzeug die nächsten Wartungen. Ampel zeigt automatisch, was fällig ist.</t>
        </is>
      </c>
    </row>
    <row r="11">
      <c r="B11" s="7" t="inlineStr">
        <is>
          <t>④ Wartungshistorie</t>
        </is>
      </c>
      <c r="C11" s="8" t="inlineStr">
        <is>
          <t>Protokoll aller durchgeführten Arbeiten inkl. Werkstatt &amp; Kosten.</t>
        </is>
      </c>
    </row>
    <row r="12">
      <c r="B12" s="7" t="inlineStr">
        <is>
          <t>⑤ Tankkosten</t>
        </is>
      </c>
      <c r="C12" s="8" t="inlineStr">
        <is>
          <t>Tankvorgänge erfassen – Verbrauch (L/100km) &amp; Kosten/km werden berechnet.</t>
        </is>
      </c>
    </row>
    <row r="13">
      <c r="B13" s="7" t="inlineStr">
        <is>
          <t>⑥ Leasing &amp; Verträge</t>
        </is>
      </c>
      <c r="C13" s="8" t="inlineStr">
        <is>
          <t>Leasing/Finanzierung, Raten, Versicherung &amp; Kfz-Steuer mit Termin-Ampel.</t>
        </is>
      </c>
    </row>
    <row r="14">
      <c r="B14" s="7" t="inlineStr">
        <is>
          <t>⑦ Kostenübersicht</t>
        </is>
      </c>
      <c r="C14" s="8" t="inlineStr">
        <is>
          <t>Auswertung der Kosten je Fahrzeug, Kategorie und inkl. Diagrammen.</t>
        </is>
      </c>
    </row>
    <row r="15">
      <c r="B15" s="7" t="inlineStr">
        <is>
          <t>⑧ Intervall-Vorlagen</t>
        </is>
      </c>
      <c r="C15" s="8" t="inlineStr">
        <is>
          <t>Empfohlene Wartungsintervalle als Nachschlagewerk.</t>
        </is>
      </c>
    </row>
    <row r="16">
      <c r="B16" s="7" t="inlineStr">
        <is>
          <t>⑨ Listen</t>
        </is>
      </c>
      <c r="C16" s="8" t="inlineStr">
        <is>
          <t>Auswahllisten für die Dropdown-Menüs (anpassbar).</t>
        </is>
      </c>
    </row>
    <row r="17">
      <c r="B17" s="3" t="inlineStr"/>
      <c r="C17" s="3" t="inlineStr"/>
    </row>
    <row r="18" ht="24" customHeight="1">
      <c r="B18" s="4" t="inlineStr">
        <is>
          <t>🟢🟡🔴 Ampel-System</t>
        </is>
      </c>
    </row>
    <row r="19">
      <c r="B19" s="9" t="inlineStr">
        <is>
          <t>🟢 OK</t>
        </is>
      </c>
      <c r="C19" s="3" t="inlineStr">
        <is>
          <t>Liegt in der Zukunft – nichts zu tun.</t>
        </is>
      </c>
    </row>
    <row r="20">
      <c r="B20" s="10" t="inlineStr">
        <is>
          <t>🟡 Bald fällig</t>
        </is>
      </c>
      <c r="C20" s="3" t="inlineStr">
        <is>
          <t>Innerhalb der nächsten 30 Tage / 1.000 km (Verträge: 60 Tage) – einplanen.</t>
        </is>
      </c>
    </row>
    <row r="21">
      <c r="B21" s="11" t="inlineStr">
        <is>
          <t>🔴 Überfällig</t>
        </is>
      </c>
      <c r="C21" s="3" t="inlineStr">
        <is>
          <t>Termin oder km-Grenze überschritten – sofort handeln!</t>
        </is>
      </c>
    </row>
    <row r="22">
      <c r="B22" s="3" t="inlineStr"/>
      <c r="C22" s="3" t="inlineStr"/>
    </row>
    <row r="23" ht="24" customHeight="1">
      <c r="B23" s="4" t="inlineStr">
        <is>
          <t>💡 Tipps</t>
        </is>
      </c>
    </row>
    <row r="24">
      <c r="B24" s="5" t="inlineStr">
        <is>
          <t>• Gelb/grau hinterlegte Felder enthalten Formeln – bitte nicht überschreiben.</t>
        </is>
      </c>
      <c r="C24" s="3" t="inlineStr"/>
    </row>
    <row r="25">
      <c r="B25" s="5" t="inlineStr">
        <is>
          <t>• Nur die weißen Eingabefelder ausfüllen; Dropdowns per Klick auf den Pfeil nutzen.</t>
        </is>
      </c>
      <c r="C25" s="3" t="inlineStr"/>
    </row>
    <row r="26">
      <c r="B26" s="5" t="inlineStr">
        <is>
          <t>• km-Stände im Blatt „Fahrzeuge“ aktuell halten – davon hängen die Erinnerungen ab.</t>
        </is>
      </c>
      <c r="C26" s="3" t="inlineStr"/>
    </row>
    <row r="27">
      <c r="B27" s="5" t="inlineStr">
        <is>
          <t>• Eigenes Logo: im Blatt „Dashboard“ das Bild anklicken → rechte Maustaste → „Bild ändern“.</t>
        </is>
      </c>
      <c r="C27" s="3" t="inlineStr"/>
    </row>
    <row r="28">
      <c r="B28" s="3" t="inlineStr"/>
      <c r="C28" s="3" t="inlineStr"/>
    </row>
    <row r="29">
      <c r="B29" s="12" t="inlineStr">
        <is>
          <t>Erstellt am</t>
        </is>
      </c>
      <c r="C29" s="12" t="inlineStr">
        <is>
          <t>13.06.2026</t>
        </is>
      </c>
    </row>
  </sheetData>
  <mergeCells count="5">
    <mergeCell ref="A1:D1"/>
    <mergeCell ref="B23:C23"/>
    <mergeCell ref="A2:D2"/>
    <mergeCell ref="B18:C18"/>
    <mergeCell ref="B4:C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ED7D31"/>
    <outlinePr summaryBelow="1" summaryRight="1"/>
    <pageSetUpPr/>
  </sheetPr>
  <dimension ref="A1:G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8" customWidth="1" min="3" max="3"/>
    <col width="3" customWidth="1" min="4" max="4"/>
    <col width="26" customWidth="1" min="5" max="5"/>
    <col width="18" customWidth="1" min="6" max="6"/>
    <col width="3" customWidth="1" min="7" max="7"/>
  </cols>
  <sheetData>
    <row r="1" ht="36" customHeight="1">
      <c r="A1" s="1" t="inlineStr">
        <is>
          <t>📊  FUHRPARK-DASHBOARD</t>
        </is>
      </c>
    </row>
    <row r="2" ht="18" customHeight="1">
      <c r="A2" s="2" t="inlineStr">
        <is>
          <t>Automatische Übersicht – Stand: heute</t>
        </is>
      </c>
    </row>
    <row r="4" ht="22" customHeight="1">
      <c r="B4" s="13" t="inlineStr">
        <is>
          <t>Ihr Firmenname GmbH</t>
        </is>
      </c>
      <c r="C4" s="14" t="n"/>
    </row>
    <row r="7" ht="22" customHeight="1">
      <c r="B7" s="15" t="inlineStr">
        <is>
          <t>Fahrzeuge gesamt</t>
        </is>
      </c>
      <c r="C7" s="14" t="n"/>
      <c r="E7" s="16" t="inlineStr">
        <is>
          <t>🔴 Überfällige Wartungen</t>
        </is>
      </c>
      <c r="F7" s="14" t="n"/>
    </row>
    <row r="8" ht="40" customHeight="1">
      <c r="B8" s="17">
        <f>COUNTA(F_Kennz)-COUNTBLANK(F_Kennz)</f>
        <v/>
      </c>
      <c r="C8" s="14" t="n"/>
      <c r="E8" s="18">
        <f>COUNTIF(Wartungsplan!$M$4:$M$300,"*🔴*")</f>
        <v/>
      </c>
      <c r="F8" s="14" t="n"/>
    </row>
    <row r="10" ht="22" customHeight="1">
      <c r="B10" s="19" t="inlineStr">
        <is>
          <t>🟡 Bald fällige Wartungen</t>
        </is>
      </c>
      <c r="C10" s="14" t="n"/>
      <c r="E10" s="20" t="inlineStr">
        <is>
          <t>🟢 Wartungen OK</t>
        </is>
      </c>
      <c r="F10" s="14" t="n"/>
    </row>
    <row r="11" ht="40" customHeight="1">
      <c r="B11" s="21">
        <f>COUNTIF(Wartungsplan!$M$4:$M$300,"*🟡*")</f>
        <v/>
      </c>
      <c r="C11" s="14" t="n"/>
      <c r="E11" s="22">
        <f>COUNTIF(Wartungsplan!$M$4:$M$300,"*🟢*")</f>
        <v/>
      </c>
      <c r="F11" s="14" t="n"/>
    </row>
    <row r="13" ht="22" customHeight="1">
      <c r="B13" s="23" t="inlineStr">
        <is>
          <t>TÜV/HU &lt; 30 Tage</t>
        </is>
      </c>
      <c r="C13" s="14" t="n"/>
      <c r="E13" s="24" t="inlineStr">
        <is>
          <t>Verträge &lt; 60 Tage</t>
        </is>
      </c>
      <c r="F13" s="14" t="n"/>
    </row>
    <row r="14" ht="40" customHeight="1">
      <c r="B14" s="25">
        <f>COUNTIFS(Fahrzeuge!$M$4:$M$200,"&gt;="&amp;TODAY(),Fahrzeuge!$M$4:$M$200,"&lt;="&amp;TODAY()+30)</f>
        <v/>
      </c>
      <c r="C14" s="14" t="n"/>
      <c r="E14" s="26">
        <f>COUNTIFS(V_Ende,"&gt;="&amp;TODAY(),V_Ende,"&lt;="&amp;TODAY()+60)</f>
        <v/>
      </c>
      <c r="F14" s="14" t="n"/>
    </row>
    <row r="16" ht="22" customHeight="1">
      <c r="B16" s="27" t="inlineStr">
        <is>
          <t>Tankkosten gesamt (€)</t>
        </is>
      </c>
      <c r="C16" s="14" t="n"/>
      <c r="E16" s="27" t="inlineStr">
        <is>
          <t>Wartungskosten (€)</t>
        </is>
      </c>
      <c r="F16" s="14" t="n"/>
    </row>
    <row r="17" ht="40" customHeight="1">
      <c r="B17" s="28">
        <f>SUM(T_Gesamt)</f>
        <v/>
      </c>
      <c r="C17" s="14" t="n"/>
      <c r="E17" s="28">
        <f>SUM(H_Kosten)</f>
        <v/>
      </c>
      <c r="F17" s="14" t="n"/>
    </row>
    <row r="19" ht="22" customHeight="1">
      <c r="B19" s="29" t="inlineStr">
        <is>
          <t>➜ Details: „Wartungsplan“ · Kosten: „Kostenübersicht“ · Verträge: „Leasing &amp; Verträge“</t>
        </is>
      </c>
    </row>
    <row r="21">
      <c r="B21" s="30" t="inlineStr">
        <is>
          <t>🔔 Nächste/überfällige Wartungen (siehe „Wartungsplan“)</t>
        </is>
      </c>
    </row>
    <row r="22" ht="20" customHeight="1">
      <c r="B22" s="31" t="inlineStr">
        <is>
          <t>Kennzeichen</t>
        </is>
      </c>
      <c r="C22" s="31" t="inlineStr">
        <is>
          <t>Wartungsart</t>
        </is>
      </c>
      <c r="D22" s="31" t="inlineStr">
        <is>
          <t>Nächste Wartung</t>
        </is>
      </c>
      <c r="E22" s="31" t="inlineStr">
        <is>
          <t>Rest-Tage</t>
        </is>
      </c>
      <c r="F22" s="31" t="inlineStr">
        <is>
          <t>Status</t>
        </is>
      </c>
    </row>
    <row r="23">
      <c r="B23" s="32">
        <f>IF(Wartungsplan!A4="","",Wartungsplan!A4)</f>
        <v/>
      </c>
      <c r="C23" s="32">
        <f>IF(Wartungsplan!C4="","",Wartungsplan!C4)</f>
        <v/>
      </c>
      <c r="D23" s="33">
        <f>IF(Wartungsplan!I4="","",Wartungsplan!I4)</f>
        <v/>
      </c>
      <c r="E23" s="32">
        <f>IF(Wartungsplan!J4="","",Wartungsplan!J4)</f>
        <v/>
      </c>
      <c r="F23" s="32">
        <f>IF(Wartungsplan!M4="","",Wartungsplan!M4)</f>
        <v/>
      </c>
    </row>
    <row r="24">
      <c r="B24" s="34">
        <f>IF(Wartungsplan!A5="","",Wartungsplan!A5)</f>
        <v/>
      </c>
      <c r="C24" s="34">
        <f>IF(Wartungsplan!C5="","",Wartungsplan!C5)</f>
        <v/>
      </c>
      <c r="D24" s="35">
        <f>IF(Wartungsplan!I5="","",Wartungsplan!I5)</f>
        <v/>
      </c>
      <c r="E24" s="34">
        <f>IF(Wartungsplan!J5="","",Wartungsplan!J5)</f>
        <v/>
      </c>
      <c r="F24" s="34">
        <f>IF(Wartungsplan!M5="","",Wartungsplan!M5)</f>
        <v/>
      </c>
    </row>
    <row r="25">
      <c r="B25" s="32">
        <f>IF(Wartungsplan!A6="","",Wartungsplan!A6)</f>
        <v/>
      </c>
      <c r="C25" s="32">
        <f>IF(Wartungsplan!C6="","",Wartungsplan!C6)</f>
        <v/>
      </c>
      <c r="D25" s="33">
        <f>IF(Wartungsplan!I6="","",Wartungsplan!I6)</f>
        <v/>
      </c>
      <c r="E25" s="32">
        <f>IF(Wartungsplan!J6="","",Wartungsplan!J6)</f>
        <v/>
      </c>
      <c r="F25" s="32">
        <f>IF(Wartungsplan!M6="","",Wartungsplan!M6)</f>
        <v/>
      </c>
    </row>
    <row r="26">
      <c r="B26" s="34">
        <f>IF(Wartungsplan!A7="","",Wartungsplan!A7)</f>
        <v/>
      </c>
      <c r="C26" s="34">
        <f>IF(Wartungsplan!C7="","",Wartungsplan!C7)</f>
        <v/>
      </c>
      <c r="D26" s="35">
        <f>IF(Wartungsplan!I7="","",Wartungsplan!I7)</f>
        <v/>
      </c>
      <c r="E26" s="34">
        <f>IF(Wartungsplan!J7="","",Wartungsplan!J7)</f>
        <v/>
      </c>
      <c r="F26" s="34">
        <f>IF(Wartungsplan!M7="","",Wartungsplan!M7)</f>
        <v/>
      </c>
    </row>
    <row r="27">
      <c r="B27" s="32">
        <f>IF(Wartungsplan!A8="","",Wartungsplan!A8)</f>
        <v/>
      </c>
      <c r="C27" s="32">
        <f>IF(Wartungsplan!C8="","",Wartungsplan!C8)</f>
        <v/>
      </c>
      <c r="D27" s="33">
        <f>IF(Wartungsplan!I8="","",Wartungsplan!I8)</f>
        <v/>
      </c>
      <c r="E27" s="32">
        <f>IF(Wartungsplan!J8="","",Wartungsplan!J8)</f>
        <v/>
      </c>
      <c r="F27" s="32">
        <f>IF(Wartungsplan!M8="","",Wartungsplan!M8)</f>
        <v/>
      </c>
    </row>
    <row r="28">
      <c r="B28" s="34">
        <f>IF(Wartungsplan!A9="","",Wartungsplan!A9)</f>
        <v/>
      </c>
      <c r="C28" s="34">
        <f>IF(Wartungsplan!C9="","",Wartungsplan!C9)</f>
        <v/>
      </c>
      <c r="D28" s="35">
        <f>IF(Wartungsplan!I9="","",Wartungsplan!I9)</f>
        <v/>
      </c>
      <c r="E28" s="34">
        <f>IF(Wartungsplan!J9="","",Wartungsplan!J9)</f>
        <v/>
      </c>
      <c r="F28" s="34">
        <f>IF(Wartungsplan!M9="","",Wartungsplan!M9)</f>
        <v/>
      </c>
    </row>
    <row r="29">
      <c r="B29" s="32">
        <f>IF(Wartungsplan!A10="","",Wartungsplan!A10)</f>
        <v/>
      </c>
      <c r="C29" s="32">
        <f>IF(Wartungsplan!C10="","",Wartungsplan!C10)</f>
        <v/>
      </c>
      <c r="D29" s="33">
        <f>IF(Wartungsplan!I10="","",Wartungsplan!I10)</f>
        <v/>
      </c>
      <c r="E29" s="32">
        <f>IF(Wartungsplan!J10="","",Wartungsplan!J10)</f>
        <v/>
      </c>
      <c r="F29" s="32">
        <f>IF(Wartungsplan!M10="","",Wartungsplan!M10)</f>
        <v/>
      </c>
    </row>
    <row r="30">
      <c r="B30" s="34">
        <f>IF(Wartungsplan!A11="","",Wartungsplan!A11)</f>
        <v/>
      </c>
      <c r="C30" s="34">
        <f>IF(Wartungsplan!C11="","",Wartungsplan!C11)</f>
        <v/>
      </c>
      <c r="D30" s="35">
        <f>IF(Wartungsplan!I11="","",Wartungsplan!I11)</f>
        <v/>
      </c>
      <c r="E30" s="34">
        <f>IF(Wartungsplan!J11="","",Wartungsplan!J11)</f>
        <v/>
      </c>
      <c r="F30" s="34">
        <f>IF(Wartungsplan!M11="","",Wartungsplan!M11)</f>
        <v/>
      </c>
    </row>
    <row r="31">
      <c r="B31" s="32">
        <f>IF(Wartungsplan!A12="","",Wartungsplan!A12)</f>
        <v/>
      </c>
      <c r="C31" s="32">
        <f>IF(Wartungsplan!C12="","",Wartungsplan!C12)</f>
        <v/>
      </c>
      <c r="D31" s="33">
        <f>IF(Wartungsplan!I12="","",Wartungsplan!I12)</f>
        <v/>
      </c>
      <c r="E31" s="32">
        <f>IF(Wartungsplan!J12="","",Wartungsplan!J12)</f>
        <v/>
      </c>
      <c r="F31" s="32">
        <f>IF(Wartungsplan!M12="","",Wartungsplan!M12)</f>
        <v/>
      </c>
    </row>
    <row r="32">
      <c r="B32" s="34">
        <f>IF(Wartungsplan!A13="","",Wartungsplan!A13)</f>
        <v/>
      </c>
      <c r="C32" s="34">
        <f>IF(Wartungsplan!C13="","",Wartungsplan!C13)</f>
        <v/>
      </c>
      <c r="D32" s="35">
        <f>IF(Wartungsplan!I13="","",Wartungsplan!I13)</f>
        <v/>
      </c>
      <c r="E32" s="34">
        <f>IF(Wartungsplan!J13="","",Wartungsplan!J13)</f>
        <v/>
      </c>
      <c r="F32" s="34">
        <f>IF(Wartungsplan!M13="","",Wartungsplan!M13)</f>
        <v/>
      </c>
    </row>
  </sheetData>
  <mergeCells count="21">
    <mergeCell ref="B16:C16"/>
    <mergeCell ref="B7:C7"/>
    <mergeCell ref="E14:F14"/>
    <mergeCell ref="E17:F17"/>
    <mergeCell ref="E8:F8"/>
    <mergeCell ref="B21:F21"/>
    <mergeCell ref="B11:C11"/>
    <mergeCell ref="E10:F10"/>
    <mergeCell ref="B14:C14"/>
    <mergeCell ref="E13:F13"/>
    <mergeCell ref="B17:C17"/>
    <mergeCell ref="B8:C8"/>
    <mergeCell ref="B13:C13"/>
    <mergeCell ref="A1:G1"/>
    <mergeCell ref="B10:C10"/>
    <mergeCell ref="E11:F11"/>
    <mergeCell ref="B19:F19"/>
    <mergeCell ref="E16:F16"/>
    <mergeCell ref="E7:F7"/>
    <mergeCell ref="A2:G2"/>
    <mergeCell ref="B4:C4"/>
  </mergeCells>
  <conditionalFormatting sqref="F23:F32">
    <cfRule type="expression" priority="1" dxfId="0">
      <formula>ISNUMBER(SEARCH("🔴",F23))</formula>
    </cfRule>
    <cfRule type="expression" priority="2" dxfId="1">
      <formula>ISNUMBER(SEARCH("🟡",F23))</formula>
    </cfRule>
    <cfRule type="expression" priority="3" dxfId="2">
      <formula>ISNUMBER(SEARCH("🟢",F23))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/>
  </sheetPr>
  <dimension ref="A1:O20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5" customWidth="1" min="4" max="4"/>
    <col width="9" customWidth="1" min="5" max="5"/>
    <col width="13" customWidth="1" min="6" max="6"/>
    <col width="12" customWidth="1" min="7" max="7"/>
    <col width="20" customWidth="1" min="8" max="8"/>
    <col width="18" customWidth="1" min="9" max="9"/>
    <col width="15" customWidth="1" min="10" max="10"/>
    <col width="12" customWidth="1" min="11" max="11"/>
    <col width="12" customWidth="1" min="12" max="12"/>
    <col width="12" customWidth="1" min="13" max="13"/>
    <col width="13" customWidth="1" min="14" max="14"/>
    <col width="24" customWidth="1" min="15" max="15"/>
  </cols>
  <sheetData>
    <row r="1" ht="36" customHeight="1">
      <c r="A1" s="36" t="inlineStr">
        <is>
          <t>FAHRZEUG-STAMMDATEN</t>
        </is>
      </c>
    </row>
    <row r="2" ht="18" customHeight="1">
      <c r="A2" s="2" t="inlineStr">
        <is>
          <t>Basis der gesamten Verwaltung – hier jedes Fahrzeug einmal anlegen.</t>
        </is>
      </c>
    </row>
    <row r="3" ht="26" customHeight="1">
      <c r="A3" s="37" t="inlineStr">
        <is>
          <t>Kennzeichen</t>
        </is>
      </c>
      <c r="B3" s="37" t="inlineStr">
        <is>
          <t>Typ</t>
        </is>
      </c>
      <c r="C3" s="37" t="inlineStr">
        <is>
          <t>Marke</t>
        </is>
      </c>
      <c r="D3" s="37" t="inlineStr">
        <is>
          <t>Modell</t>
        </is>
      </c>
      <c r="E3" s="37" t="inlineStr">
        <is>
          <t>Baujahr</t>
        </is>
      </c>
      <c r="F3" s="37" t="inlineStr">
        <is>
          <t>Erstzulassung</t>
        </is>
      </c>
      <c r="G3" s="37" t="inlineStr">
        <is>
          <t>Kraftstoff</t>
        </is>
      </c>
      <c r="H3" s="37" t="inlineStr">
        <is>
          <t>VIN / Fahrgestellnr.</t>
        </is>
      </c>
      <c r="I3" s="37" t="inlineStr">
        <is>
          <t>Fahrer / Abteilung</t>
        </is>
      </c>
      <c r="J3" s="37" t="inlineStr">
        <is>
          <t>km-Stand aktuell</t>
        </is>
      </c>
      <c r="K3" s="37" t="inlineStr">
        <is>
          <t>Stand vom</t>
        </is>
      </c>
      <c r="L3" s="37" t="inlineStr">
        <is>
          <t>Ø km / Monat</t>
        </is>
      </c>
      <c r="M3" s="37" t="inlineStr">
        <is>
          <t>TÜV/HU bis</t>
        </is>
      </c>
      <c r="N3" s="37" t="inlineStr">
        <is>
          <t>Status</t>
        </is>
      </c>
      <c r="O3" s="37" t="inlineStr">
        <is>
          <t>Notiz</t>
        </is>
      </c>
    </row>
    <row r="4">
      <c r="A4" s="34" t="inlineStr">
        <is>
          <t>B-AH 1001</t>
        </is>
      </c>
      <c r="B4" s="34" t="inlineStr">
        <is>
          <t>PKW</t>
        </is>
      </c>
      <c r="C4" s="38" t="inlineStr">
        <is>
          <t>VW</t>
        </is>
      </c>
      <c r="D4" s="38" t="inlineStr">
        <is>
          <t>Passat Variant</t>
        </is>
      </c>
      <c r="E4" s="34" t="n">
        <v>2022</v>
      </c>
      <c r="F4" s="35" t="n">
        <v>44635</v>
      </c>
      <c r="G4" s="34" t="inlineStr">
        <is>
          <t>Diesel</t>
        </is>
      </c>
      <c r="H4" s="38" t="inlineStr">
        <is>
          <t>WVWZZZ3CZME000111</t>
        </is>
      </c>
      <c r="I4" s="38" t="inlineStr">
        <is>
          <t>M. Keller / Vertrieb</t>
        </is>
      </c>
      <c r="J4" s="39" t="n">
        <v>68500</v>
      </c>
      <c r="K4" s="35" t="n">
        <v>46174</v>
      </c>
      <c r="L4" s="39" t="n">
        <v>1800</v>
      </c>
      <c r="M4" s="35" t="n">
        <v>46295</v>
      </c>
      <c r="N4" s="34" t="inlineStr">
        <is>
          <t>Aktiv</t>
        </is>
      </c>
      <c r="O4" s="38" t="inlineStr"/>
    </row>
    <row r="5">
      <c r="A5" s="32" t="inlineStr">
        <is>
          <t>B-AH 1002</t>
        </is>
      </c>
      <c r="B5" s="32" t="inlineStr">
        <is>
          <t>PKW</t>
        </is>
      </c>
      <c r="C5" s="40" t="inlineStr">
        <is>
          <t>Skoda</t>
        </is>
      </c>
      <c r="D5" s="40" t="inlineStr">
        <is>
          <t>Octavia</t>
        </is>
      </c>
      <c r="E5" s="32" t="n">
        <v>2021</v>
      </c>
      <c r="F5" s="33" t="n">
        <v>44378</v>
      </c>
      <c r="G5" s="32" t="inlineStr">
        <is>
          <t>Benzin</t>
        </is>
      </c>
      <c r="H5" s="40" t="inlineStr">
        <is>
          <t>TMBJJ7NE0M0000222</t>
        </is>
      </c>
      <c r="I5" s="40" t="inlineStr">
        <is>
          <t>Pool</t>
        </is>
      </c>
      <c r="J5" s="41" t="n">
        <v>54200</v>
      </c>
      <c r="K5" s="33" t="n">
        <v>46174</v>
      </c>
      <c r="L5" s="41" t="n">
        <v>1200</v>
      </c>
      <c r="M5" s="33" t="n">
        <v>46446</v>
      </c>
      <c r="N5" s="32" t="inlineStr">
        <is>
          <t>Aktiv</t>
        </is>
      </c>
      <c r="O5" s="40" t="inlineStr"/>
    </row>
    <row r="6">
      <c r="A6" s="34" t="inlineStr">
        <is>
          <t>B-AH 2050</t>
        </is>
      </c>
      <c r="B6" s="34" t="inlineStr">
        <is>
          <t>Transporter</t>
        </is>
      </c>
      <c r="C6" s="38" t="inlineStr">
        <is>
          <t>Mercedes</t>
        </is>
      </c>
      <c r="D6" s="38" t="inlineStr">
        <is>
          <t>Sprinter 316</t>
        </is>
      </c>
      <c r="E6" s="34" t="n">
        <v>2020</v>
      </c>
      <c r="F6" s="35" t="n">
        <v>43971</v>
      </c>
      <c r="G6" s="34" t="inlineStr">
        <is>
          <t>Diesel</t>
        </is>
      </c>
      <c r="H6" s="38" t="inlineStr">
        <is>
          <t>WDB9061331N000333</t>
        </is>
      </c>
      <c r="I6" s="38" t="inlineStr">
        <is>
          <t>Logistik</t>
        </is>
      </c>
      <c r="J6" s="39" t="n">
        <v>142300</v>
      </c>
      <c r="K6" s="35" t="n">
        <v>46174</v>
      </c>
      <c r="L6" s="39" t="n">
        <v>3200</v>
      </c>
      <c r="M6" s="35" t="n">
        <v>46218</v>
      </c>
      <c r="N6" s="34" t="inlineStr">
        <is>
          <t>Aktiv</t>
        </is>
      </c>
      <c r="O6" s="38" t="inlineStr">
        <is>
          <t>Hochdach</t>
        </is>
      </c>
    </row>
    <row r="7">
      <c r="A7" s="32" t="inlineStr">
        <is>
          <t>B-AH 2051</t>
        </is>
      </c>
      <c r="B7" s="32" t="inlineStr">
        <is>
          <t>Transporter</t>
        </is>
      </c>
      <c r="C7" s="40" t="inlineStr">
        <is>
          <t>Ford</t>
        </is>
      </c>
      <c r="D7" s="40" t="inlineStr">
        <is>
          <t>Transit Custom</t>
        </is>
      </c>
      <c r="E7" s="32" t="n">
        <v>2023</v>
      </c>
      <c r="F7" s="33" t="n">
        <v>44936</v>
      </c>
      <c r="G7" s="32" t="inlineStr">
        <is>
          <t>Diesel</t>
        </is>
      </c>
      <c r="H7" s="40" t="inlineStr">
        <is>
          <t>WF0XXXTTGXN000444</t>
        </is>
      </c>
      <c r="I7" s="40" t="inlineStr">
        <is>
          <t>Service-Team</t>
        </is>
      </c>
      <c r="J7" s="41" t="n">
        <v>39800</v>
      </c>
      <c r="K7" s="33" t="n">
        <v>46174</v>
      </c>
      <c r="L7" s="41" t="n">
        <v>2500</v>
      </c>
      <c r="M7" s="33" t="n">
        <v>46397</v>
      </c>
      <c r="N7" s="32" t="inlineStr">
        <is>
          <t>Aktiv</t>
        </is>
      </c>
      <c r="O7" s="40" t="inlineStr"/>
    </row>
    <row r="8">
      <c r="A8" s="34" t="inlineStr">
        <is>
          <t>B-AH 7800</t>
        </is>
      </c>
      <c r="B8" s="34" t="inlineStr">
        <is>
          <t>LKW</t>
        </is>
      </c>
      <c r="C8" s="38" t="inlineStr">
        <is>
          <t>MAN</t>
        </is>
      </c>
      <c r="D8" s="38" t="inlineStr">
        <is>
          <t>TGX 18.470</t>
        </is>
      </c>
      <c r="E8" s="34" t="n">
        <v>2019</v>
      </c>
      <c r="F8" s="35" t="n">
        <v>43713</v>
      </c>
      <c r="G8" s="34" t="inlineStr">
        <is>
          <t>Diesel</t>
        </is>
      </c>
      <c r="H8" s="38" t="inlineStr">
        <is>
          <t>WMA06XZZ0KM000555</t>
        </is>
      </c>
      <c r="I8" s="38" t="inlineStr">
        <is>
          <t>Fernverkehr</t>
        </is>
      </c>
      <c r="J8" s="39" t="n">
        <v>520400</v>
      </c>
      <c r="K8" s="35" t="n">
        <v>46174</v>
      </c>
      <c r="L8" s="39" t="n">
        <v>9500</v>
      </c>
      <c r="M8" s="35" t="n">
        <v>46203</v>
      </c>
      <c r="N8" s="34" t="inlineStr">
        <is>
          <t>Aktiv</t>
        </is>
      </c>
      <c r="O8" s="38" t="inlineStr">
        <is>
          <t>SP &amp; Tacho beachten</t>
        </is>
      </c>
    </row>
    <row r="9">
      <c r="A9" s="32" t="inlineStr">
        <is>
          <t>B-AH 7801</t>
        </is>
      </c>
      <c r="B9" s="32" t="inlineStr">
        <is>
          <t>LKW</t>
        </is>
      </c>
      <c r="C9" s="40" t="inlineStr">
        <is>
          <t>Volvo</t>
        </is>
      </c>
      <c r="D9" s="40" t="inlineStr">
        <is>
          <t>FH 460</t>
        </is>
      </c>
      <c r="E9" s="32" t="n">
        <v>2021</v>
      </c>
      <c r="F9" s="33" t="n">
        <v>44304</v>
      </c>
      <c r="G9" s="32" t="inlineStr">
        <is>
          <t>Diesel</t>
        </is>
      </c>
      <c r="H9" s="40" t="inlineStr">
        <is>
          <t>YV2RT40A0MB000666</t>
        </is>
      </c>
      <c r="I9" s="40" t="inlineStr">
        <is>
          <t>Fernverkehr</t>
        </is>
      </c>
      <c r="J9" s="41" t="n">
        <v>310750</v>
      </c>
      <c r="K9" s="33" t="n">
        <v>46174</v>
      </c>
      <c r="L9" s="41" t="n">
        <v>8800</v>
      </c>
      <c r="M9" s="33" t="n">
        <v>46346</v>
      </c>
      <c r="N9" s="32" t="inlineStr">
        <is>
          <t>Aktiv</t>
        </is>
      </c>
      <c r="O9" s="40" t="inlineStr"/>
    </row>
    <row r="10">
      <c r="A10" s="42" t="n"/>
      <c r="B10" s="42" t="n"/>
      <c r="C10" s="42" t="n"/>
      <c r="D10" s="42" t="n"/>
      <c r="E10" s="42" t="n"/>
      <c r="F10" s="43" t="n"/>
      <c r="G10" s="42" t="n"/>
      <c r="H10" s="42" t="n"/>
      <c r="I10" s="42" t="n"/>
      <c r="J10" s="44" t="n"/>
      <c r="K10" s="43" t="n"/>
      <c r="L10" s="44" t="n"/>
      <c r="M10" s="43" t="n"/>
      <c r="N10" s="42" t="n"/>
      <c r="O10" s="42" t="n"/>
    </row>
    <row r="11">
      <c r="A11" s="45" t="n"/>
      <c r="B11" s="45" t="n"/>
      <c r="C11" s="45" t="n"/>
      <c r="D11" s="45" t="n"/>
      <c r="E11" s="45" t="n"/>
      <c r="F11" s="46" t="n"/>
      <c r="G11" s="45" t="n"/>
      <c r="H11" s="45" t="n"/>
      <c r="I11" s="45" t="n"/>
      <c r="J11" s="47" t="n"/>
      <c r="K11" s="46" t="n"/>
      <c r="L11" s="47" t="n"/>
      <c r="M11" s="46" t="n"/>
      <c r="N11" s="45" t="n"/>
      <c r="O11" s="45" t="n"/>
    </row>
    <row r="12">
      <c r="A12" s="42" t="n"/>
      <c r="B12" s="42" t="n"/>
      <c r="C12" s="42" t="n"/>
      <c r="D12" s="42" t="n"/>
      <c r="E12" s="42" t="n"/>
      <c r="F12" s="43" t="n"/>
      <c r="G12" s="42" t="n"/>
      <c r="H12" s="42" t="n"/>
      <c r="I12" s="42" t="n"/>
      <c r="J12" s="44" t="n"/>
      <c r="K12" s="43" t="n"/>
      <c r="L12" s="44" t="n"/>
      <c r="M12" s="43" t="n"/>
      <c r="N12" s="42" t="n"/>
      <c r="O12" s="42" t="n"/>
    </row>
    <row r="13">
      <c r="A13" s="45" t="n"/>
      <c r="B13" s="45" t="n"/>
      <c r="C13" s="45" t="n"/>
      <c r="D13" s="45" t="n"/>
      <c r="E13" s="45" t="n"/>
      <c r="F13" s="46" t="n"/>
      <c r="G13" s="45" t="n"/>
      <c r="H13" s="45" t="n"/>
      <c r="I13" s="45" t="n"/>
      <c r="J13" s="47" t="n"/>
      <c r="K13" s="46" t="n"/>
      <c r="L13" s="47" t="n"/>
      <c r="M13" s="46" t="n"/>
      <c r="N13" s="45" t="n"/>
      <c r="O13" s="45" t="n"/>
    </row>
    <row r="14">
      <c r="A14" s="42" t="n"/>
      <c r="B14" s="42" t="n"/>
      <c r="C14" s="42" t="n"/>
      <c r="D14" s="42" t="n"/>
      <c r="E14" s="42" t="n"/>
      <c r="F14" s="43" t="n"/>
      <c r="G14" s="42" t="n"/>
      <c r="H14" s="42" t="n"/>
      <c r="I14" s="42" t="n"/>
      <c r="J14" s="44" t="n"/>
      <c r="K14" s="43" t="n"/>
      <c r="L14" s="44" t="n"/>
      <c r="M14" s="43" t="n"/>
      <c r="N14" s="42" t="n"/>
      <c r="O14" s="42" t="n"/>
    </row>
    <row r="15">
      <c r="A15" s="45" t="n"/>
      <c r="B15" s="45" t="n"/>
      <c r="C15" s="45" t="n"/>
      <c r="D15" s="45" t="n"/>
      <c r="E15" s="45" t="n"/>
      <c r="F15" s="46" t="n"/>
      <c r="G15" s="45" t="n"/>
      <c r="H15" s="45" t="n"/>
      <c r="I15" s="45" t="n"/>
      <c r="J15" s="47" t="n"/>
      <c r="K15" s="46" t="n"/>
      <c r="L15" s="47" t="n"/>
      <c r="M15" s="46" t="n"/>
      <c r="N15" s="45" t="n"/>
      <c r="O15" s="45" t="n"/>
    </row>
    <row r="16">
      <c r="A16" s="42" t="n"/>
      <c r="B16" s="42" t="n"/>
      <c r="C16" s="42" t="n"/>
      <c r="D16" s="42" t="n"/>
      <c r="E16" s="42" t="n"/>
      <c r="F16" s="43" t="n"/>
      <c r="G16" s="42" t="n"/>
      <c r="H16" s="42" t="n"/>
      <c r="I16" s="42" t="n"/>
      <c r="J16" s="44" t="n"/>
      <c r="K16" s="43" t="n"/>
      <c r="L16" s="44" t="n"/>
      <c r="M16" s="43" t="n"/>
      <c r="N16" s="42" t="n"/>
      <c r="O16" s="42" t="n"/>
    </row>
    <row r="17">
      <c r="A17" s="45" t="n"/>
      <c r="B17" s="45" t="n"/>
      <c r="C17" s="45" t="n"/>
      <c r="D17" s="45" t="n"/>
      <c r="E17" s="45" t="n"/>
      <c r="F17" s="46" t="n"/>
      <c r="G17" s="45" t="n"/>
      <c r="H17" s="45" t="n"/>
      <c r="I17" s="45" t="n"/>
      <c r="J17" s="47" t="n"/>
      <c r="K17" s="46" t="n"/>
      <c r="L17" s="47" t="n"/>
      <c r="M17" s="46" t="n"/>
      <c r="N17" s="45" t="n"/>
      <c r="O17" s="45" t="n"/>
    </row>
    <row r="18">
      <c r="A18" s="42" t="n"/>
      <c r="B18" s="42" t="n"/>
      <c r="C18" s="42" t="n"/>
      <c r="D18" s="42" t="n"/>
      <c r="E18" s="42" t="n"/>
      <c r="F18" s="43" t="n"/>
      <c r="G18" s="42" t="n"/>
      <c r="H18" s="42" t="n"/>
      <c r="I18" s="42" t="n"/>
      <c r="J18" s="44" t="n"/>
      <c r="K18" s="43" t="n"/>
      <c r="L18" s="44" t="n"/>
      <c r="M18" s="43" t="n"/>
      <c r="N18" s="42" t="n"/>
      <c r="O18" s="42" t="n"/>
    </row>
    <row r="19">
      <c r="A19" s="45" t="n"/>
      <c r="B19" s="45" t="n"/>
      <c r="C19" s="45" t="n"/>
      <c r="D19" s="45" t="n"/>
      <c r="E19" s="45" t="n"/>
      <c r="F19" s="46" t="n"/>
      <c r="G19" s="45" t="n"/>
      <c r="H19" s="45" t="n"/>
      <c r="I19" s="45" t="n"/>
      <c r="J19" s="47" t="n"/>
      <c r="K19" s="46" t="n"/>
      <c r="L19" s="47" t="n"/>
      <c r="M19" s="46" t="n"/>
      <c r="N19" s="45" t="n"/>
      <c r="O19" s="45" t="n"/>
    </row>
    <row r="20">
      <c r="A20" s="42" t="n"/>
      <c r="B20" s="42" t="n"/>
      <c r="C20" s="42" t="n"/>
      <c r="D20" s="42" t="n"/>
      <c r="E20" s="42" t="n"/>
      <c r="F20" s="43" t="n"/>
      <c r="G20" s="42" t="n"/>
      <c r="H20" s="42" t="n"/>
      <c r="I20" s="42" t="n"/>
      <c r="J20" s="44" t="n"/>
      <c r="K20" s="43" t="n"/>
      <c r="L20" s="44" t="n"/>
      <c r="M20" s="43" t="n"/>
      <c r="N20" s="42" t="n"/>
      <c r="O20" s="42" t="n"/>
    </row>
    <row r="21">
      <c r="A21" s="45" t="n"/>
      <c r="B21" s="45" t="n"/>
      <c r="C21" s="45" t="n"/>
      <c r="D21" s="45" t="n"/>
      <c r="E21" s="45" t="n"/>
      <c r="F21" s="46" t="n"/>
      <c r="G21" s="45" t="n"/>
      <c r="H21" s="45" t="n"/>
      <c r="I21" s="45" t="n"/>
      <c r="J21" s="47" t="n"/>
      <c r="K21" s="46" t="n"/>
      <c r="L21" s="47" t="n"/>
      <c r="M21" s="46" t="n"/>
      <c r="N21" s="45" t="n"/>
      <c r="O21" s="45" t="n"/>
    </row>
    <row r="22">
      <c r="A22" s="42" t="n"/>
      <c r="B22" s="42" t="n"/>
      <c r="C22" s="42" t="n"/>
      <c r="D22" s="42" t="n"/>
      <c r="E22" s="42" t="n"/>
      <c r="F22" s="43" t="n"/>
      <c r="G22" s="42" t="n"/>
      <c r="H22" s="42" t="n"/>
      <c r="I22" s="42" t="n"/>
      <c r="J22" s="44" t="n"/>
      <c r="K22" s="43" t="n"/>
      <c r="L22" s="44" t="n"/>
      <c r="M22" s="43" t="n"/>
      <c r="N22" s="42" t="n"/>
      <c r="O22" s="42" t="n"/>
    </row>
    <row r="23">
      <c r="A23" s="45" t="n"/>
      <c r="B23" s="45" t="n"/>
      <c r="C23" s="45" t="n"/>
      <c r="D23" s="45" t="n"/>
      <c r="E23" s="45" t="n"/>
      <c r="F23" s="46" t="n"/>
      <c r="G23" s="45" t="n"/>
      <c r="H23" s="45" t="n"/>
      <c r="I23" s="45" t="n"/>
      <c r="J23" s="47" t="n"/>
      <c r="K23" s="46" t="n"/>
      <c r="L23" s="47" t="n"/>
      <c r="M23" s="46" t="n"/>
      <c r="N23" s="45" t="n"/>
      <c r="O23" s="45" t="n"/>
    </row>
    <row r="24">
      <c r="A24" s="42" t="n"/>
      <c r="B24" s="42" t="n"/>
      <c r="C24" s="42" t="n"/>
      <c r="D24" s="42" t="n"/>
      <c r="E24" s="42" t="n"/>
      <c r="F24" s="43" t="n"/>
      <c r="G24" s="42" t="n"/>
      <c r="H24" s="42" t="n"/>
      <c r="I24" s="42" t="n"/>
      <c r="J24" s="44" t="n"/>
      <c r="K24" s="43" t="n"/>
      <c r="L24" s="44" t="n"/>
      <c r="M24" s="43" t="n"/>
      <c r="N24" s="42" t="n"/>
      <c r="O24" s="42" t="n"/>
    </row>
    <row r="25">
      <c r="A25" s="45" t="n"/>
      <c r="B25" s="45" t="n"/>
      <c r="C25" s="45" t="n"/>
      <c r="D25" s="45" t="n"/>
      <c r="E25" s="45" t="n"/>
      <c r="F25" s="46" t="n"/>
      <c r="G25" s="45" t="n"/>
      <c r="H25" s="45" t="n"/>
      <c r="I25" s="45" t="n"/>
      <c r="J25" s="47" t="n"/>
      <c r="K25" s="46" t="n"/>
      <c r="L25" s="47" t="n"/>
      <c r="M25" s="46" t="n"/>
      <c r="N25" s="45" t="n"/>
      <c r="O25" s="45" t="n"/>
    </row>
    <row r="26">
      <c r="A26" s="42" t="n"/>
      <c r="B26" s="42" t="n"/>
      <c r="C26" s="42" t="n"/>
      <c r="D26" s="42" t="n"/>
      <c r="E26" s="42" t="n"/>
      <c r="F26" s="43" t="n"/>
      <c r="G26" s="42" t="n"/>
      <c r="H26" s="42" t="n"/>
      <c r="I26" s="42" t="n"/>
      <c r="J26" s="44" t="n"/>
      <c r="K26" s="43" t="n"/>
      <c r="L26" s="44" t="n"/>
      <c r="M26" s="43" t="n"/>
      <c r="N26" s="42" t="n"/>
      <c r="O26" s="42" t="n"/>
    </row>
    <row r="27">
      <c r="A27" s="45" t="n"/>
      <c r="B27" s="45" t="n"/>
      <c r="C27" s="45" t="n"/>
      <c r="D27" s="45" t="n"/>
      <c r="E27" s="45" t="n"/>
      <c r="F27" s="46" t="n"/>
      <c r="G27" s="45" t="n"/>
      <c r="H27" s="45" t="n"/>
      <c r="I27" s="45" t="n"/>
      <c r="J27" s="47" t="n"/>
      <c r="K27" s="46" t="n"/>
      <c r="L27" s="47" t="n"/>
      <c r="M27" s="46" t="n"/>
      <c r="N27" s="45" t="n"/>
      <c r="O27" s="45" t="n"/>
    </row>
    <row r="28">
      <c r="A28" s="42" t="n"/>
      <c r="B28" s="42" t="n"/>
      <c r="C28" s="42" t="n"/>
      <c r="D28" s="42" t="n"/>
      <c r="E28" s="42" t="n"/>
      <c r="F28" s="43" t="n"/>
      <c r="G28" s="42" t="n"/>
      <c r="H28" s="42" t="n"/>
      <c r="I28" s="42" t="n"/>
      <c r="J28" s="44" t="n"/>
      <c r="K28" s="43" t="n"/>
      <c r="L28" s="44" t="n"/>
      <c r="M28" s="43" t="n"/>
      <c r="N28" s="42" t="n"/>
      <c r="O28" s="42" t="n"/>
    </row>
    <row r="29">
      <c r="A29" s="45" t="n"/>
      <c r="B29" s="45" t="n"/>
      <c r="C29" s="45" t="n"/>
      <c r="D29" s="45" t="n"/>
      <c r="E29" s="45" t="n"/>
      <c r="F29" s="46" t="n"/>
      <c r="G29" s="45" t="n"/>
      <c r="H29" s="45" t="n"/>
      <c r="I29" s="45" t="n"/>
      <c r="J29" s="47" t="n"/>
      <c r="K29" s="46" t="n"/>
      <c r="L29" s="47" t="n"/>
      <c r="M29" s="46" t="n"/>
      <c r="N29" s="45" t="n"/>
      <c r="O29" s="45" t="n"/>
    </row>
    <row r="30">
      <c r="A30" s="42" t="n"/>
      <c r="B30" s="42" t="n"/>
      <c r="C30" s="42" t="n"/>
      <c r="D30" s="42" t="n"/>
      <c r="E30" s="42" t="n"/>
      <c r="F30" s="43" t="n"/>
      <c r="G30" s="42" t="n"/>
      <c r="H30" s="42" t="n"/>
      <c r="I30" s="42" t="n"/>
      <c r="J30" s="44" t="n"/>
      <c r="K30" s="43" t="n"/>
      <c r="L30" s="44" t="n"/>
      <c r="M30" s="43" t="n"/>
      <c r="N30" s="42" t="n"/>
      <c r="O30" s="42" t="n"/>
    </row>
    <row r="31">
      <c r="A31" s="45" t="n"/>
      <c r="B31" s="45" t="n"/>
      <c r="C31" s="45" t="n"/>
      <c r="D31" s="45" t="n"/>
      <c r="E31" s="45" t="n"/>
      <c r="F31" s="46" t="n"/>
      <c r="G31" s="45" t="n"/>
      <c r="H31" s="45" t="n"/>
      <c r="I31" s="45" t="n"/>
      <c r="J31" s="47" t="n"/>
      <c r="K31" s="46" t="n"/>
      <c r="L31" s="47" t="n"/>
      <c r="M31" s="46" t="n"/>
      <c r="N31" s="45" t="n"/>
      <c r="O31" s="45" t="n"/>
    </row>
    <row r="32">
      <c r="A32" s="42" t="n"/>
      <c r="B32" s="42" t="n"/>
      <c r="C32" s="42" t="n"/>
      <c r="D32" s="42" t="n"/>
      <c r="E32" s="42" t="n"/>
      <c r="F32" s="43" t="n"/>
      <c r="G32" s="42" t="n"/>
      <c r="H32" s="42" t="n"/>
      <c r="I32" s="42" t="n"/>
      <c r="J32" s="44" t="n"/>
      <c r="K32" s="43" t="n"/>
      <c r="L32" s="44" t="n"/>
      <c r="M32" s="43" t="n"/>
      <c r="N32" s="42" t="n"/>
      <c r="O32" s="42" t="n"/>
    </row>
    <row r="33">
      <c r="A33" s="45" t="n"/>
      <c r="B33" s="45" t="n"/>
      <c r="C33" s="45" t="n"/>
      <c r="D33" s="45" t="n"/>
      <c r="E33" s="45" t="n"/>
      <c r="F33" s="46" t="n"/>
      <c r="G33" s="45" t="n"/>
      <c r="H33" s="45" t="n"/>
      <c r="I33" s="45" t="n"/>
      <c r="J33" s="47" t="n"/>
      <c r="K33" s="46" t="n"/>
      <c r="L33" s="47" t="n"/>
      <c r="M33" s="46" t="n"/>
      <c r="N33" s="45" t="n"/>
      <c r="O33" s="45" t="n"/>
    </row>
    <row r="34">
      <c r="A34" s="42" t="n"/>
      <c r="B34" s="42" t="n"/>
      <c r="C34" s="42" t="n"/>
      <c r="D34" s="42" t="n"/>
      <c r="E34" s="42" t="n"/>
      <c r="F34" s="43" t="n"/>
      <c r="G34" s="42" t="n"/>
      <c r="H34" s="42" t="n"/>
      <c r="I34" s="42" t="n"/>
      <c r="J34" s="44" t="n"/>
      <c r="K34" s="43" t="n"/>
      <c r="L34" s="44" t="n"/>
      <c r="M34" s="43" t="n"/>
      <c r="N34" s="42" t="n"/>
      <c r="O34" s="42" t="n"/>
    </row>
    <row r="35">
      <c r="A35" s="45" t="n"/>
      <c r="B35" s="45" t="n"/>
      <c r="C35" s="45" t="n"/>
      <c r="D35" s="45" t="n"/>
      <c r="E35" s="45" t="n"/>
      <c r="F35" s="46" t="n"/>
      <c r="G35" s="45" t="n"/>
      <c r="H35" s="45" t="n"/>
      <c r="I35" s="45" t="n"/>
      <c r="J35" s="47" t="n"/>
      <c r="K35" s="46" t="n"/>
      <c r="L35" s="47" t="n"/>
      <c r="M35" s="46" t="n"/>
      <c r="N35" s="45" t="n"/>
      <c r="O35" s="45" t="n"/>
    </row>
    <row r="36">
      <c r="A36" s="42" t="n"/>
      <c r="B36" s="42" t="n"/>
      <c r="C36" s="42" t="n"/>
      <c r="D36" s="42" t="n"/>
      <c r="E36" s="42" t="n"/>
      <c r="F36" s="43" t="n"/>
      <c r="G36" s="42" t="n"/>
      <c r="H36" s="42" t="n"/>
      <c r="I36" s="42" t="n"/>
      <c r="J36" s="44" t="n"/>
      <c r="K36" s="43" t="n"/>
      <c r="L36" s="44" t="n"/>
      <c r="M36" s="43" t="n"/>
      <c r="N36" s="42" t="n"/>
      <c r="O36" s="42" t="n"/>
    </row>
    <row r="37">
      <c r="A37" s="45" t="n"/>
      <c r="B37" s="45" t="n"/>
      <c r="C37" s="45" t="n"/>
      <c r="D37" s="45" t="n"/>
      <c r="E37" s="45" t="n"/>
      <c r="F37" s="46" t="n"/>
      <c r="G37" s="45" t="n"/>
      <c r="H37" s="45" t="n"/>
      <c r="I37" s="45" t="n"/>
      <c r="J37" s="47" t="n"/>
      <c r="K37" s="46" t="n"/>
      <c r="L37" s="47" t="n"/>
      <c r="M37" s="46" t="n"/>
      <c r="N37" s="45" t="n"/>
      <c r="O37" s="45" t="n"/>
    </row>
    <row r="38">
      <c r="A38" s="42" t="n"/>
      <c r="B38" s="42" t="n"/>
      <c r="C38" s="42" t="n"/>
      <c r="D38" s="42" t="n"/>
      <c r="E38" s="42" t="n"/>
      <c r="F38" s="43" t="n"/>
      <c r="G38" s="42" t="n"/>
      <c r="H38" s="42" t="n"/>
      <c r="I38" s="42" t="n"/>
      <c r="J38" s="44" t="n"/>
      <c r="K38" s="43" t="n"/>
      <c r="L38" s="44" t="n"/>
      <c r="M38" s="43" t="n"/>
      <c r="N38" s="42" t="n"/>
      <c r="O38" s="42" t="n"/>
    </row>
    <row r="39">
      <c r="A39" s="45" t="n"/>
      <c r="B39" s="45" t="n"/>
      <c r="C39" s="45" t="n"/>
      <c r="D39" s="45" t="n"/>
      <c r="E39" s="45" t="n"/>
      <c r="F39" s="46" t="n"/>
      <c r="G39" s="45" t="n"/>
      <c r="H39" s="45" t="n"/>
      <c r="I39" s="45" t="n"/>
      <c r="J39" s="47" t="n"/>
      <c r="K39" s="46" t="n"/>
      <c r="L39" s="47" t="n"/>
      <c r="M39" s="46" t="n"/>
      <c r="N39" s="45" t="n"/>
      <c r="O39" s="45" t="n"/>
    </row>
    <row r="40">
      <c r="A40" s="42" t="n"/>
      <c r="B40" s="42" t="n"/>
      <c r="C40" s="42" t="n"/>
      <c r="D40" s="42" t="n"/>
      <c r="E40" s="42" t="n"/>
      <c r="F40" s="43" t="n"/>
      <c r="G40" s="42" t="n"/>
      <c r="H40" s="42" t="n"/>
      <c r="I40" s="42" t="n"/>
      <c r="J40" s="44" t="n"/>
      <c r="K40" s="43" t="n"/>
      <c r="L40" s="44" t="n"/>
      <c r="M40" s="43" t="n"/>
      <c r="N40" s="42" t="n"/>
      <c r="O40" s="42" t="n"/>
    </row>
    <row r="41">
      <c r="A41" s="45" t="n"/>
      <c r="B41" s="45" t="n"/>
      <c r="C41" s="45" t="n"/>
      <c r="D41" s="45" t="n"/>
      <c r="E41" s="45" t="n"/>
      <c r="F41" s="46" t="n"/>
      <c r="G41" s="45" t="n"/>
      <c r="H41" s="45" t="n"/>
      <c r="I41" s="45" t="n"/>
      <c r="J41" s="47" t="n"/>
      <c r="K41" s="46" t="n"/>
      <c r="L41" s="47" t="n"/>
      <c r="M41" s="46" t="n"/>
      <c r="N41" s="45" t="n"/>
      <c r="O41" s="45" t="n"/>
    </row>
    <row r="42">
      <c r="A42" s="42" t="n"/>
      <c r="B42" s="42" t="n"/>
      <c r="C42" s="42" t="n"/>
      <c r="D42" s="42" t="n"/>
      <c r="E42" s="42" t="n"/>
      <c r="F42" s="43" t="n"/>
      <c r="G42" s="42" t="n"/>
      <c r="H42" s="42" t="n"/>
      <c r="I42" s="42" t="n"/>
      <c r="J42" s="44" t="n"/>
      <c r="K42" s="43" t="n"/>
      <c r="L42" s="44" t="n"/>
      <c r="M42" s="43" t="n"/>
      <c r="N42" s="42" t="n"/>
      <c r="O42" s="42" t="n"/>
    </row>
    <row r="43">
      <c r="A43" s="45" t="n"/>
      <c r="B43" s="45" t="n"/>
      <c r="C43" s="45" t="n"/>
      <c r="D43" s="45" t="n"/>
      <c r="E43" s="45" t="n"/>
      <c r="F43" s="46" t="n"/>
      <c r="G43" s="45" t="n"/>
      <c r="H43" s="45" t="n"/>
      <c r="I43" s="45" t="n"/>
      <c r="J43" s="47" t="n"/>
      <c r="K43" s="46" t="n"/>
      <c r="L43" s="47" t="n"/>
      <c r="M43" s="46" t="n"/>
      <c r="N43" s="45" t="n"/>
      <c r="O43" s="45" t="n"/>
    </row>
    <row r="44">
      <c r="A44" s="42" t="n"/>
      <c r="B44" s="42" t="n"/>
      <c r="C44" s="42" t="n"/>
      <c r="D44" s="42" t="n"/>
      <c r="E44" s="42" t="n"/>
      <c r="F44" s="43" t="n"/>
      <c r="G44" s="42" t="n"/>
      <c r="H44" s="42" t="n"/>
      <c r="I44" s="42" t="n"/>
      <c r="J44" s="44" t="n"/>
      <c r="K44" s="43" t="n"/>
      <c r="L44" s="44" t="n"/>
      <c r="M44" s="43" t="n"/>
      <c r="N44" s="42" t="n"/>
      <c r="O44" s="42" t="n"/>
    </row>
    <row r="45">
      <c r="A45" s="45" t="n"/>
      <c r="B45" s="45" t="n"/>
      <c r="C45" s="45" t="n"/>
      <c r="D45" s="45" t="n"/>
      <c r="E45" s="45" t="n"/>
      <c r="F45" s="46" t="n"/>
      <c r="G45" s="45" t="n"/>
      <c r="H45" s="45" t="n"/>
      <c r="I45" s="45" t="n"/>
      <c r="J45" s="47" t="n"/>
      <c r="K45" s="46" t="n"/>
      <c r="L45" s="47" t="n"/>
      <c r="M45" s="46" t="n"/>
      <c r="N45" s="45" t="n"/>
      <c r="O45" s="45" t="n"/>
    </row>
    <row r="46">
      <c r="A46" s="42" t="n"/>
      <c r="B46" s="42" t="n"/>
      <c r="C46" s="42" t="n"/>
      <c r="D46" s="42" t="n"/>
      <c r="E46" s="42" t="n"/>
      <c r="F46" s="43" t="n"/>
      <c r="G46" s="42" t="n"/>
      <c r="H46" s="42" t="n"/>
      <c r="I46" s="42" t="n"/>
      <c r="J46" s="44" t="n"/>
      <c r="K46" s="43" t="n"/>
      <c r="L46" s="44" t="n"/>
      <c r="M46" s="43" t="n"/>
      <c r="N46" s="42" t="n"/>
      <c r="O46" s="42" t="n"/>
    </row>
    <row r="47">
      <c r="A47" s="45" t="n"/>
      <c r="B47" s="45" t="n"/>
      <c r="C47" s="45" t="n"/>
      <c r="D47" s="45" t="n"/>
      <c r="E47" s="45" t="n"/>
      <c r="F47" s="46" t="n"/>
      <c r="G47" s="45" t="n"/>
      <c r="H47" s="45" t="n"/>
      <c r="I47" s="45" t="n"/>
      <c r="J47" s="47" t="n"/>
      <c r="K47" s="46" t="n"/>
      <c r="L47" s="47" t="n"/>
      <c r="M47" s="46" t="n"/>
      <c r="N47" s="45" t="n"/>
      <c r="O47" s="45" t="n"/>
    </row>
    <row r="48">
      <c r="A48" s="42" t="n"/>
      <c r="B48" s="42" t="n"/>
      <c r="C48" s="42" t="n"/>
      <c r="D48" s="42" t="n"/>
      <c r="E48" s="42" t="n"/>
      <c r="F48" s="43" t="n"/>
      <c r="G48" s="42" t="n"/>
      <c r="H48" s="42" t="n"/>
      <c r="I48" s="42" t="n"/>
      <c r="J48" s="44" t="n"/>
      <c r="K48" s="43" t="n"/>
      <c r="L48" s="44" t="n"/>
      <c r="M48" s="43" t="n"/>
      <c r="N48" s="42" t="n"/>
      <c r="O48" s="42" t="n"/>
    </row>
    <row r="49">
      <c r="A49" s="45" t="n"/>
      <c r="B49" s="45" t="n"/>
      <c r="C49" s="45" t="n"/>
      <c r="D49" s="45" t="n"/>
      <c r="E49" s="45" t="n"/>
      <c r="F49" s="46" t="n"/>
      <c r="G49" s="45" t="n"/>
      <c r="H49" s="45" t="n"/>
      <c r="I49" s="45" t="n"/>
      <c r="J49" s="47" t="n"/>
      <c r="K49" s="46" t="n"/>
      <c r="L49" s="47" t="n"/>
      <c r="M49" s="46" t="n"/>
      <c r="N49" s="45" t="n"/>
      <c r="O49" s="45" t="n"/>
    </row>
    <row r="50">
      <c r="A50" s="42" t="n"/>
      <c r="B50" s="42" t="n"/>
      <c r="C50" s="42" t="n"/>
      <c r="D50" s="42" t="n"/>
      <c r="E50" s="42" t="n"/>
      <c r="F50" s="43" t="n"/>
      <c r="G50" s="42" t="n"/>
      <c r="H50" s="42" t="n"/>
      <c r="I50" s="42" t="n"/>
      <c r="J50" s="44" t="n"/>
      <c r="K50" s="43" t="n"/>
      <c r="L50" s="44" t="n"/>
      <c r="M50" s="43" t="n"/>
      <c r="N50" s="42" t="n"/>
      <c r="O50" s="42" t="n"/>
    </row>
    <row r="51">
      <c r="A51" s="45" t="n"/>
      <c r="B51" s="45" t="n"/>
      <c r="C51" s="45" t="n"/>
      <c r="D51" s="45" t="n"/>
      <c r="E51" s="45" t="n"/>
      <c r="F51" s="46" t="n"/>
      <c r="G51" s="45" t="n"/>
      <c r="H51" s="45" t="n"/>
      <c r="I51" s="45" t="n"/>
      <c r="J51" s="47" t="n"/>
      <c r="K51" s="46" t="n"/>
      <c r="L51" s="47" t="n"/>
      <c r="M51" s="46" t="n"/>
      <c r="N51" s="45" t="n"/>
      <c r="O51" s="45" t="n"/>
    </row>
    <row r="52">
      <c r="A52" s="42" t="n"/>
      <c r="B52" s="42" t="n"/>
      <c r="C52" s="42" t="n"/>
      <c r="D52" s="42" t="n"/>
      <c r="E52" s="42" t="n"/>
      <c r="F52" s="43" t="n"/>
      <c r="G52" s="42" t="n"/>
      <c r="H52" s="42" t="n"/>
      <c r="I52" s="42" t="n"/>
      <c r="J52" s="44" t="n"/>
      <c r="K52" s="43" t="n"/>
      <c r="L52" s="44" t="n"/>
      <c r="M52" s="43" t="n"/>
      <c r="N52" s="42" t="n"/>
      <c r="O52" s="42" t="n"/>
    </row>
    <row r="53">
      <c r="A53" s="45" t="n"/>
      <c r="B53" s="45" t="n"/>
      <c r="C53" s="45" t="n"/>
      <c r="D53" s="45" t="n"/>
      <c r="E53" s="45" t="n"/>
      <c r="F53" s="46" t="n"/>
      <c r="G53" s="45" t="n"/>
      <c r="H53" s="45" t="n"/>
      <c r="I53" s="45" t="n"/>
      <c r="J53" s="47" t="n"/>
      <c r="K53" s="46" t="n"/>
      <c r="L53" s="47" t="n"/>
      <c r="M53" s="46" t="n"/>
      <c r="N53" s="45" t="n"/>
      <c r="O53" s="45" t="n"/>
    </row>
    <row r="54">
      <c r="A54" s="42" t="n"/>
      <c r="B54" s="42" t="n"/>
      <c r="C54" s="42" t="n"/>
      <c r="D54" s="42" t="n"/>
      <c r="E54" s="42" t="n"/>
      <c r="F54" s="43" t="n"/>
      <c r="G54" s="42" t="n"/>
      <c r="H54" s="42" t="n"/>
      <c r="I54" s="42" t="n"/>
      <c r="J54" s="44" t="n"/>
      <c r="K54" s="43" t="n"/>
      <c r="L54" s="44" t="n"/>
      <c r="M54" s="43" t="n"/>
      <c r="N54" s="42" t="n"/>
      <c r="O54" s="42" t="n"/>
    </row>
    <row r="55">
      <c r="A55" s="45" t="n"/>
      <c r="B55" s="45" t="n"/>
      <c r="C55" s="45" t="n"/>
      <c r="D55" s="45" t="n"/>
      <c r="E55" s="45" t="n"/>
      <c r="F55" s="46" t="n"/>
      <c r="G55" s="45" t="n"/>
      <c r="H55" s="45" t="n"/>
      <c r="I55" s="45" t="n"/>
      <c r="J55" s="47" t="n"/>
      <c r="K55" s="46" t="n"/>
      <c r="L55" s="47" t="n"/>
      <c r="M55" s="46" t="n"/>
      <c r="N55" s="45" t="n"/>
      <c r="O55" s="45" t="n"/>
    </row>
    <row r="56">
      <c r="A56" s="42" t="n"/>
      <c r="B56" s="42" t="n"/>
      <c r="C56" s="42" t="n"/>
      <c r="D56" s="42" t="n"/>
      <c r="E56" s="42" t="n"/>
      <c r="F56" s="43" t="n"/>
      <c r="G56" s="42" t="n"/>
      <c r="H56" s="42" t="n"/>
      <c r="I56" s="42" t="n"/>
      <c r="J56" s="44" t="n"/>
      <c r="K56" s="43" t="n"/>
      <c r="L56" s="44" t="n"/>
      <c r="M56" s="43" t="n"/>
      <c r="N56" s="42" t="n"/>
      <c r="O56" s="42" t="n"/>
    </row>
    <row r="57">
      <c r="A57" s="45" t="n"/>
      <c r="B57" s="45" t="n"/>
      <c r="C57" s="45" t="n"/>
      <c r="D57" s="45" t="n"/>
      <c r="E57" s="45" t="n"/>
      <c r="F57" s="46" t="n"/>
      <c r="G57" s="45" t="n"/>
      <c r="H57" s="45" t="n"/>
      <c r="I57" s="45" t="n"/>
      <c r="J57" s="47" t="n"/>
      <c r="K57" s="46" t="n"/>
      <c r="L57" s="47" t="n"/>
      <c r="M57" s="46" t="n"/>
      <c r="N57" s="45" t="n"/>
      <c r="O57" s="45" t="n"/>
    </row>
    <row r="58">
      <c r="A58" s="42" t="n"/>
      <c r="B58" s="42" t="n"/>
      <c r="C58" s="42" t="n"/>
      <c r="D58" s="42" t="n"/>
      <c r="E58" s="42" t="n"/>
      <c r="F58" s="43" t="n"/>
      <c r="G58" s="42" t="n"/>
      <c r="H58" s="42" t="n"/>
      <c r="I58" s="42" t="n"/>
      <c r="J58" s="44" t="n"/>
      <c r="K58" s="43" t="n"/>
      <c r="L58" s="44" t="n"/>
      <c r="M58" s="43" t="n"/>
      <c r="N58" s="42" t="n"/>
      <c r="O58" s="42" t="n"/>
    </row>
    <row r="59">
      <c r="A59" s="45" t="n"/>
      <c r="B59" s="45" t="n"/>
      <c r="C59" s="45" t="n"/>
      <c r="D59" s="45" t="n"/>
      <c r="E59" s="45" t="n"/>
      <c r="F59" s="46" t="n"/>
      <c r="G59" s="45" t="n"/>
      <c r="H59" s="45" t="n"/>
      <c r="I59" s="45" t="n"/>
      <c r="J59" s="47" t="n"/>
      <c r="K59" s="46" t="n"/>
      <c r="L59" s="47" t="n"/>
      <c r="M59" s="46" t="n"/>
      <c r="N59" s="45" t="n"/>
      <c r="O59" s="45" t="n"/>
    </row>
    <row r="60">
      <c r="A60" s="42" t="n"/>
      <c r="B60" s="42" t="n"/>
      <c r="C60" s="42" t="n"/>
      <c r="D60" s="42" t="n"/>
      <c r="E60" s="42" t="n"/>
      <c r="F60" s="43" t="n"/>
      <c r="G60" s="42" t="n"/>
      <c r="H60" s="42" t="n"/>
      <c r="I60" s="42" t="n"/>
      <c r="J60" s="44" t="n"/>
      <c r="K60" s="43" t="n"/>
      <c r="L60" s="44" t="n"/>
      <c r="M60" s="43" t="n"/>
      <c r="N60" s="42" t="n"/>
      <c r="O60" s="42" t="n"/>
    </row>
    <row r="61">
      <c r="A61" s="45" t="n"/>
      <c r="B61" s="45" t="n"/>
      <c r="C61" s="45" t="n"/>
      <c r="D61" s="45" t="n"/>
      <c r="E61" s="45" t="n"/>
      <c r="F61" s="46" t="n"/>
      <c r="G61" s="45" t="n"/>
      <c r="H61" s="45" t="n"/>
      <c r="I61" s="45" t="n"/>
      <c r="J61" s="47" t="n"/>
      <c r="K61" s="46" t="n"/>
      <c r="L61" s="47" t="n"/>
      <c r="M61" s="46" t="n"/>
      <c r="N61" s="45" t="n"/>
      <c r="O61" s="45" t="n"/>
    </row>
    <row r="62">
      <c r="A62" s="42" t="n"/>
      <c r="B62" s="42" t="n"/>
      <c r="C62" s="42" t="n"/>
      <c r="D62" s="42" t="n"/>
      <c r="E62" s="42" t="n"/>
      <c r="F62" s="43" t="n"/>
      <c r="G62" s="42" t="n"/>
      <c r="H62" s="42" t="n"/>
      <c r="I62" s="42" t="n"/>
      <c r="J62" s="44" t="n"/>
      <c r="K62" s="43" t="n"/>
      <c r="L62" s="44" t="n"/>
      <c r="M62" s="43" t="n"/>
      <c r="N62" s="42" t="n"/>
      <c r="O62" s="42" t="n"/>
    </row>
    <row r="63">
      <c r="A63" s="45" t="n"/>
      <c r="B63" s="45" t="n"/>
      <c r="C63" s="45" t="n"/>
      <c r="D63" s="45" t="n"/>
      <c r="E63" s="45" t="n"/>
      <c r="F63" s="46" t="n"/>
      <c r="G63" s="45" t="n"/>
      <c r="H63" s="45" t="n"/>
      <c r="I63" s="45" t="n"/>
      <c r="J63" s="47" t="n"/>
      <c r="K63" s="46" t="n"/>
      <c r="L63" s="47" t="n"/>
      <c r="M63" s="46" t="n"/>
      <c r="N63" s="45" t="n"/>
      <c r="O63" s="45" t="n"/>
    </row>
    <row r="64">
      <c r="A64" s="42" t="n"/>
      <c r="B64" s="42" t="n"/>
      <c r="C64" s="42" t="n"/>
      <c r="D64" s="42" t="n"/>
      <c r="E64" s="42" t="n"/>
      <c r="F64" s="43" t="n"/>
      <c r="G64" s="42" t="n"/>
      <c r="H64" s="42" t="n"/>
      <c r="I64" s="42" t="n"/>
      <c r="J64" s="44" t="n"/>
      <c r="K64" s="43" t="n"/>
      <c r="L64" s="44" t="n"/>
      <c r="M64" s="43" t="n"/>
      <c r="N64" s="42" t="n"/>
      <c r="O64" s="42" t="n"/>
    </row>
    <row r="65">
      <c r="A65" s="45" t="n"/>
      <c r="B65" s="45" t="n"/>
      <c r="C65" s="45" t="n"/>
      <c r="D65" s="45" t="n"/>
      <c r="E65" s="45" t="n"/>
      <c r="F65" s="46" t="n"/>
      <c r="G65" s="45" t="n"/>
      <c r="H65" s="45" t="n"/>
      <c r="I65" s="45" t="n"/>
      <c r="J65" s="47" t="n"/>
      <c r="K65" s="46" t="n"/>
      <c r="L65" s="47" t="n"/>
      <c r="M65" s="46" t="n"/>
      <c r="N65" s="45" t="n"/>
      <c r="O65" s="45" t="n"/>
    </row>
    <row r="66">
      <c r="A66" s="42" t="n"/>
      <c r="B66" s="42" t="n"/>
      <c r="C66" s="42" t="n"/>
      <c r="D66" s="42" t="n"/>
      <c r="E66" s="42" t="n"/>
      <c r="F66" s="43" t="n"/>
      <c r="G66" s="42" t="n"/>
      <c r="H66" s="42" t="n"/>
      <c r="I66" s="42" t="n"/>
      <c r="J66" s="44" t="n"/>
      <c r="K66" s="43" t="n"/>
      <c r="L66" s="44" t="n"/>
      <c r="M66" s="43" t="n"/>
      <c r="N66" s="42" t="n"/>
      <c r="O66" s="42" t="n"/>
    </row>
    <row r="67">
      <c r="A67" s="45" t="n"/>
      <c r="B67" s="45" t="n"/>
      <c r="C67" s="45" t="n"/>
      <c r="D67" s="45" t="n"/>
      <c r="E67" s="45" t="n"/>
      <c r="F67" s="46" t="n"/>
      <c r="G67" s="45" t="n"/>
      <c r="H67" s="45" t="n"/>
      <c r="I67" s="45" t="n"/>
      <c r="J67" s="47" t="n"/>
      <c r="K67" s="46" t="n"/>
      <c r="L67" s="47" t="n"/>
      <c r="M67" s="46" t="n"/>
      <c r="N67" s="45" t="n"/>
      <c r="O67" s="45" t="n"/>
    </row>
    <row r="68">
      <c r="A68" s="42" t="n"/>
      <c r="B68" s="42" t="n"/>
      <c r="C68" s="42" t="n"/>
      <c r="D68" s="42" t="n"/>
      <c r="E68" s="42" t="n"/>
      <c r="F68" s="43" t="n"/>
      <c r="G68" s="42" t="n"/>
      <c r="H68" s="42" t="n"/>
      <c r="I68" s="42" t="n"/>
      <c r="J68" s="44" t="n"/>
      <c r="K68" s="43" t="n"/>
      <c r="L68" s="44" t="n"/>
      <c r="M68" s="43" t="n"/>
      <c r="N68" s="42" t="n"/>
      <c r="O68" s="42" t="n"/>
    </row>
    <row r="69">
      <c r="A69" s="45" t="n"/>
      <c r="B69" s="45" t="n"/>
      <c r="C69" s="45" t="n"/>
      <c r="D69" s="45" t="n"/>
      <c r="E69" s="45" t="n"/>
      <c r="F69" s="46" t="n"/>
      <c r="G69" s="45" t="n"/>
      <c r="H69" s="45" t="n"/>
      <c r="I69" s="45" t="n"/>
      <c r="J69" s="47" t="n"/>
      <c r="K69" s="46" t="n"/>
      <c r="L69" s="47" t="n"/>
      <c r="M69" s="46" t="n"/>
      <c r="N69" s="45" t="n"/>
      <c r="O69" s="45" t="n"/>
    </row>
    <row r="70">
      <c r="A70" s="42" t="n"/>
      <c r="B70" s="42" t="n"/>
      <c r="C70" s="42" t="n"/>
      <c r="D70" s="42" t="n"/>
      <c r="E70" s="42" t="n"/>
      <c r="F70" s="43" t="n"/>
      <c r="G70" s="42" t="n"/>
      <c r="H70" s="42" t="n"/>
      <c r="I70" s="42" t="n"/>
      <c r="J70" s="44" t="n"/>
      <c r="K70" s="43" t="n"/>
      <c r="L70" s="44" t="n"/>
      <c r="M70" s="43" t="n"/>
      <c r="N70" s="42" t="n"/>
      <c r="O70" s="42" t="n"/>
    </row>
    <row r="71">
      <c r="A71" s="45" t="n"/>
      <c r="B71" s="45" t="n"/>
      <c r="C71" s="45" t="n"/>
      <c r="D71" s="45" t="n"/>
      <c r="E71" s="45" t="n"/>
      <c r="F71" s="46" t="n"/>
      <c r="G71" s="45" t="n"/>
      <c r="H71" s="45" t="n"/>
      <c r="I71" s="45" t="n"/>
      <c r="J71" s="47" t="n"/>
      <c r="K71" s="46" t="n"/>
      <c r="L71" s="47" t="n"/>
      <c r="M71" s="46" t="n"/>
      <c r="N71" s="45" t="n"/>
      <c r="O71" s="45" t="n"/>
    </row>
    <row r="72">
      <c r="A72" s="42" t="n"/>
      <c r="B72" s="42" t="n"/>
      <c r="C72" s="42" t="n"/>
      <c r="D72" s="42" t="n"/>
      <c r="E72" s="42" t="n"/>
      <c r="F72" s="43" t="n"/>
      <c r="G72" s="42" t="n"/>
      <c r="H72" s="42" t="n"/>
      <c r="I72" s="42" t="n"/>
      <c r="J72" s="44" t="n"/>
      <c r="K72" s="43" t="n"/>
      <c r="L72" s="44" t="n"/>
      <c r="M72" s="43" t="n"/>
      <c r="N72" s="42" t="n"/>
      <c r="O72" s="42" t="n"/>
    </row>
    <row r="73">
      <c r="A73" s="45" t="n"/>
      <c r="B73" s="45" t="n"/>
      <c r="C73" s="45" t="n"/>
      <c r="D73" s="45" t="n"/>
      <c r="E73" s="45" t="n"/>
      <c r="F73" s="46" t="n"/>
      <c r="G73" s="45" t="n"/>
      <c r="H73" s="45" t="n"/>
      <c r="I73" s="45" t="n"/>
      <c r="J73" s="47" t="n"/>
      <c r="K73" s="46" t="n"/>
      <c r="L73" s="47" t="n"/>
      <c r="M73" s="46" t="n"/>
      <c r="N73" s="45" t="n"/>
      <c r="O73" s="45" t="n"/>
    </row>
    <row r="74">
      <c r="A74" s="42" t="n"/>
      <c r="B74" s="42" t="n"/>
      <c r="C74" s="42" t="n"/>
      <c r="D74" s="42" t="n"/>
      <c r="E74" s="42" t="n"/>
      <c r="F74" s="43" t="n"/>
      <c r="G74" s="42" t="n"/>
      <c r="H74" s="42" t="n"/>
      <c r="I74" s="42" t="n"/>
      <c r="J74" s="44" t="n"/>
      <c r="K74" s="43" t="n"/>
      <c r="L74" s="44" t="n"/>
      <c r="M74" s="43" t="n"/>
      <c r="N74" s="42" t="n"/>
      <c r="O74" s="42" t="n"/>
    </row>
    <row r="75">
      <c r="A75" s="45" t="n"/>
      <c r="B75" s="45" t="n"/>
      <c r="C75" s="45" t="n"/>
      <c r="D75" s="45" t="n"/>
      <c r="E75" s="45" t="n"/>
      <c r="F75" s="46" t="n"/>
      <c r="G75" s="45" t="n"/>
      <c r="H75" s="45" t="n"/>
      <c r="I75" s="45" t="n"/>
      <c r="J75" s="47" t="n"/>
      <c r="K75" s="46" t="n"/>
      <c r="L75" s="47" t="n"/>
      <c r="M75" s="46" t="n"/>
      <c r="N75" s="45" t="n"/>
      <c r="O75" s="45" t="n"/>
    </row>
    <row r="76">
      <c r="A76" s="42" t="n"/>
      <c r="B76" s="42" t="n"/>
      <c r="C76" s="42" t="n"/>
      <c r="D76" s="42" t="n"/>
      <c r="E76" s="42" t="n"/>
      <c r="F76" s="43" t="n"/>
      <c r="G76" s="42" t="n"/>
      <c r="H76" s="42" t="n"/>
      <c r="I76" s="42" t="n"/>
      <c r="J76" s="44" t="n"/>
      <c r="K76" s="43" t="n"/>
      <c r="L76" s="44" t="n"/>
      <c r="M76" s="43" t="n"/>
      <c r="N76" s="42" t="n"/>
      <c r="O76" s="42" t="n"/>
    </row>
    <row r="77">
      <c r="A77" s="45" t="n"/>
      <c r="B77" s="45" t="n"/>
      <c r="C77" s="45" t="n"/>
      <c r="D77" s="45" t="n"/>
      <c r="E77" s="45" t="n"/>
      <c r="F77" s="46" t="n"/>
      <c r="G77" s="45" t="n"/>
      <c r="H77" s="45" t="n"/>
      <c r="I77" s="45" t="n"/>
      <c r="J77" s="47" t="n"/>
      <c r="K77" s="46" t="n"/>
      <c r="L77" s="47" t="n"/>
      <c r="M77" s="46" t="n"/>
      <c r="N77" s="45" t="n"/>
      <c r="O77" s="45" t="n"/>
    </row>
    <row r="78">
      <c r="A78" s="42" t="n"/>
      <c r="B78" s="42" t="n"/>
      <c r="C78" s="42" t="n"/>
      <c r="D78" s="42" t="n"/>
      <c r="E78" s="42" t="n"/>
      <c r="F78" s="43" t="n"/>
      <c r="G78" s="42" t="n"/>
      <c r="H78" s="42" t="n"/>
      <c r="I78" s="42" t="n"/>
      <c r="J78" s="44" t="n"/>
      <c r="K78" s="43" t="n"/>
      <c r="L78" s="44" t="n"/>
      <c r="M78" s="43" t="n"/>
      <c r="N78" s="42" t="n"/>
      <c r="O78" s="42" t="n"/>
    </row>
    <row r="79">
      <c r="A79" s="45" t="n"/>
      <c r="B79" s="45" t="n"/>
      <c r="C79" s="45" t="n"/>
      <c r="D79" s="45" t="n"/>
      <c r="E79" s="45" t="n"/>
      <c r="F79" s="46" t="n"/>
      <c r="G79" s="45" t="n"/>
      <c r="H79" s="45" t="n"/>
      <c r="I79" s="45" t="n"/>
      <c r="J79" s="47" t="n"/>
      <c r="K79" s="46" t="n"/>
      <c r="L79" s="47" t="n"/>
      <c r="M79" s="46" t="n"/>
      <c r="N79" s="45" t="n"/>
      <c r="O79" s="45" t="n"/>
    </row>
    <row r="80">
      <c r="A80" s="42" t="n"/>
      <c r="B80" s="42" t="n"/>
      <c r="C80" s="42" t="n"/>
      <c r="D80" s="42" t="n"/>
      <c r="E80" s="42" t="n"/>
      <c r="F80" s="43" t="n"/>
      <c r="G80" s="42" t="n"/>
      <c r="H80" s="42" t="n"/>
      <c r="I80" s="42" t="n"/>
      <c r="J80" s="44" t="n"/>
      <c r="K80" s="43" t="n"/>
      <c r="L80" s="44" t="n"/>
      <c r="M80" s="43" t="n"/>
      <c r="N80" s="42" t="n"/>
      <c r="O80" s="42" t="n"/>
    </row>
    <row r="81">
      <c r="A81" s="45" t="n"/>
      <c r="B81" s="45" t="n"/>
      <c r="C81" s="45" t="n"/>
      <c r="D81" s="45" t="n"/>
      <c r="E81" s="45" t="n"/>
      <c r="F81" s="46" t="n"/>
      <c r="G81" s="45" t="n"/>
      <c r="H81" s="45" t="n"/>
      <c r="I81" s="45" t="n"/>
      <c r="J81" s="47" t="n"/>
      <c r="K81" s="46" t="n"/>
      <c r="L81" s="47" t="n"/>
      <c r="M81" s="46" t="n"/>
      <c r="N81" s="45" t="n"/>
      <c r="O81" s="45" t="n"/>
    </row>
    <row r="82">
      <c r="A82" s="42" t="n"/>
      <c r="B82" s="42" t="n"/>
      <c r="C82" s="42" t="n"/>
      <c r="D82" s="42" t="n"/>
      <c r="E82" s="42" t="n"/>
      <c r="F82" s="43" t="n"/>
      <c r="G82" s="42" t="n"/>
      <c r="H82" s="42" t="n"/>
      <c r="I82" s="42" t="n"/>
      <c r="J82" s="44" t="n"/>
      <c r="K82" s="43" t="n"/>
      <c r="L82" s="44" t="n"/>
      <c r="M82" s="43" t="n"/>
      <c r="N82" s="42" t="n"/>
      <c r="O82" s="42" t="n"/>
    </row>
    <row r="83">
      <c r="A83" s="45" t="n"/>
      <c r="B83" s="45" t="n"/>
      <c r="C83" s="45" t="n"/>
      <c r="D83" s="45" t="n"/>
      <c r="E83" s="45" t="n"/>
      <c r="F83" s="46" t="n"/>
      <c r="G83" s="45" t="n"/>
      <c r="H83" s="45" t="n"/>
      <c r="I83" s="45" t="n"/>
      <c r="J83" s="47" t="n"/>
      <c r="K83" s="46" t="n"/>
      <c r="L83" s="47" t="n"/>
      <c r="M83" s="46" t="n"/>
      <c r="N83" s="45" t="n"/>
      <c r="O83" s="45" t="n"/>
    </row>
    <row r="84">
      <c r="A84" s="42" t="n"/>
      <c r="B84" s="42" t="n"/>
      <c r="C84" s="42" t="n"/>
      <c r="D84" s="42" t="n"/>
      <c r="E84" s="42" t="n"/>
      <c r="F84" s="43" t="n"/>
      <c r="G84" s="42" t="n"/>
      <c r="H84" s="42" t="n"/>
      <c r="I84" s="42" t="n"/>
      <c r="J84" s="44" t="n"/>
      <c r="K84" s="43" t="n"/>
      <c r="L84" s="44" t="n"/>
      <c r="M84" s="43" t="n"/>
      <c r="N84" s="42" t="n"/>
      <c r="O84" s="42" t="n"/>
    </row>
    <row r="85">
      <c r="A85" s="45" t="n"/>
      <c r="B85" s="45" t="n"/>
      <c r="C85" s="45" t="n"/>
      <c r="D85" s="45" t="n"/>
      <c r="E85" s="45" t="n"/>
      <c r="F85" s="46" t="n"/>
      <c r="G85" s="45" t="n"/>
      <c r="H85" s="45" t="n"/>
      <c r="I85" s="45" t="n"/>
      <c r="J85" s="47" t="n"/>
      <c r="K85" s="46" t="n"/>
      <c r="L85" s="47" t="n"/>
      <c r="M85" s="46" t="n"/>
      <c r="N85" s="45" t="n"/>
      <c r="O85" s="45" t="n"/>
    </row>
    <row r="86">
      <c r="A86" s="42" t="n"/>
      <c r="B86" s="42" t="n"/>
      <c r="C86" s="42" t="n"/>
      <c r="D86" s="42" t="n"/>
      <c r="E86" s="42" t="n"/>
      <c r="F86" s="43" t="n"/>
      <c r="G86" s="42" t="n"/>
      <c r="H86" s="42" t="n"/>
      <c r="I86" s="42" t="n"/>
      <c r="J86" s="44" t="n"/>
      <c r="K86" s="43" t="n"/>
      <c r="L86" s="44" t="n"/>
      <c r="M86" s="43" t="n"/>
      <c r="N86" s="42" t="n"/>
      <c r="O86" s="42" t="n"/>
    </row>
    <row r="87">
      <c r="A87" s="45" t="n"/>
      <c r="B87" s="45" t="n"/>
      <c r="C87" s="45" t="n"/>
      <c r="D87" s="45" t="n"/>
      <c r="E87" s="45" t="n"/>
      <c r="F87" s="46" t="n"/>
      <c r="G87" s="45" t="n"/>
      <c r="H87" s="45" t="n"/>
      <c r="I87" s="45" t="n"/>
      <c r="J87" s="47" t="n"/>
      <c r="K87" s="46" t="n"/>
      <c r="L87" s="47" t="n"/>
      <c r="M87" s="46" t="n"/>
      <c r="N87" s="45" t="n"/>
      <c r="O87" s="45" t="n"/>
    </row>
    <row r="88">
      <c r="A88" s="42" t="n"/>
      <c r="B88" s="42" t="n"/>
      <c r="C88" s="42" t="n"/>
      <c r="D88" s="42" t="n"/>
      <c r="E88" s="42" t="n"/>
      <c r="F88" s="43" t="n"/>
      <c r="G88" s="42" t="n"/>
      <c r="H88" s="42" t="n"/>
      <c r="I88" s="42" t="n"/>
      <c r="J88" s="44" t="n"/>
      <c r="K88" s="43" t="n"/>
      <c r="L88" s="44" t="n"/>
      <c r="M88" s="43" t="n"/>
      <c r="N88" s="42" t="n"/>
      <c r="O88" s="42" t="n"/>
    </row>
    <row r="89">
      <c r="A89" s="45" t="n"/>
      <c r="B89" s="45" t="n"/>
      <c r="C89" s="45" t="n"/>
      <c r="D89" s="45" t="n"/>
      <c r="E89" s="45" t="n"/>
      <c r="F89" s="46" t="n"/>
      <c r="G89" s="45" t="n"/>
      <c r="H89" s="45" t="n"/>
      <c r="I89" s="45" t="n"/>
      <c r="J89" s="47" t="n"/>
      <c r="K89" s="46" t="n"/>
      <c r="L89" s="47" t="n"/>
      <c r="M89" s="46" t="n"/>
      <c r="N89" s="45" t="n"/>
      <c r="O89" s="45" t="n"/>
    </row>
    <row r="90">
      <c r="A90" s="42" t="n"/>
      <c r="B90" s="42" t="n"/>
      <c r="C90" s="42" t="n"/>
      <c r="D90" s="42" t="n"/>
      <c r="E90" s="42" t="n"/>
      <c r="F90" s="43" t="n"/>
      <c r="G90" s="42" t="n"/>
      <c r="H90" s="42" t="n"/>
      <c r="I90" s="42" t="n"/>
      <c r="J90" s="44" t="n"/>
      <c r="K90" s="43" t="n"/>
      <c r="L90" s="44" t="n"/>
      <c r="M90" s="43" t="n"/>
      <c r="N90" s="42" t="n"/>
      <c r="O90" s="42" t="n"/>
    </row>
    <row r="91">
      <c r="A91" s="45" t="n"/>
      <c r="B91" s="45" t="n"/>
      <c r="C91" s="45" t="n"/>
      <c r="D91" s="45" t="n"/>
      <c r="E91" s="45" t="n"/>
      <c r="F91" s="46" t="n"/>
      <c r="G91" s="45" t="n"/>
      <c r="H91" s="45" t="n"/>
      <c r="I91" s="45" t="n"/>
      <c r="J91" s="47" t="n"/>
      <c r="K91" s="46" t="n"/>
      <c r="L91" s="47" t="n"/>
      <c r="M91" s="46" t="n"/>
      <c r="N91" s="45" t="n"/>
      <c r="O91" s="45" t="n"/>
    </row>
    <row r="92">
      <c r="A92" s="42" t="n"/>
      <c r="B92" s="42" t="n"/>
      <c r="C92" s="42" t="n"/>
      <c r="D92" s="42" t="n"/>
      <c r="E92" s="42" t="n"/>
      <c r="F92" s="43" t="n"/>
      <c r="G92" s="42" t="n"/>
      <c r="H92" s="42" t="n"/>
      <c r="I92" s="42" t="n"/>
      <c r="J92" s="44" t="n"/>
      <c r="K92" s="43" t="n"/>
      <c r="L92" s="44" t="n"/>
      <c r="M92" s="43" t="n"/>
      <c r="N92" s="42" t="n"/>
      <c r="O92" s="42" t="n"/>
    </row>
    <row r="93">
      <c r="A93" s="45" t="n"/>
      <c r="B93" s="45" t="n"/>
      <c r="C93" s="45" t="n"/>
      <c r="D93" s="45" t="n"/>
      <c r="E93" s="45" t="n"/>
      <c r="F93" s="46" t="n"/>
      <c r="G93" s="45" t="n"/>
      <c r="H93" s="45" t="n"/>
      <c r="I93" s="45" t="n"/>
      <c r="J93" s="47" t="n"/>
      <c r="K93" s="46" t="n"/>
      <c r="L93" s="47" t="n"/>
      <c r="M93" s="46" t="n"/>
      <c r="N93" s="45" t="n"/>
      <c r="O93" s="45" t="n"/>
    </row>
    <row r="94">
      <c r="A94" s="42" t="n"/>
      <c r="B94" s="42" t="n"/>
      <c r="C94" s="42" t="n"/>
      <c r="D94" s="42" t="n"/>
      <c r="E94" s="42" t="n"/>
      <c r="F94" s="43" t="n"/>
      <c r="G94" s="42" t="n"/>
      <c r="H94" s="42" t="n"/>
      <c r="I94" s="42" t="n"/>
      <c r="J94" s="44" t="n"/>
      <c r="K94" s="43" t="n"/>
      <c r="L94" s="44" t="n"/>
      <c r="M94" s="43" t="n"/>
      <c r="N94" s="42" t="n"/>
      <c r="O94" s="42" t="n"/>
    </row>
    <row r="95">
      <c r="A95" s="45" t="n"/>
      <c r="B95" s="45" t="n"/>
      <c r="C95" s="45" t="n"/>
      <c r="D95" s="45" t="n"/>
      <c r="E95" s="45" t="n"/>
      <c r="F95" s="46" t="n"/>
      <c r="G95" s="45" t="n"/>
      <c r="H95" s="45" t="n"/>
      <c r="I95" s="45" t="n"/>
      <c r="J95" s="47" t="n"/>
      <c r="K95" s="46" t="n"/>
      <c r="L95" s="47" t="n"/>
      <c r="M95" s="46" t="n"/>
      <c r="N95" s="45" t="n"/>
      <c r="O95" s="45" t="n"/>
    </row>
    <row r="96">
      <c r="A96" s="42" t="n"/>
      <c r="B96" s="42" t="n"/>
      <c r="C96" s="42" t="n"/>
      <c r="D96" s="42" t="n"/>
      <c r="E96" s="42" t="n"/>
      <c r="F96" s="43" t="n"/>
      <c r="G96" s="42" t="n"/>
      <c r="H96" s="42" t="n"/>
      <c r="I96" s="42" t="n"/>
      <c r="J96" s="44" t="n"/>
      <c r="K96" s="43" t="n"/>
      <c r="L96" s="44" t="n"/>
      <c r="M96" s="43" t="n"/>
      <c r="N96" s="42" t="n"/>
      <c r="O96" s="42" t="n"/>
    </row>
    <row r="97">
      <c r="A97" s="45" t="n"/>
      <c r="B97" s="45" t="n"/>
      <c r="C97" s="45" t="n"/>
      <c r="D97" s="45" t="n"/>
      <c r="E97" s="45" t="n"/>
      <c r="F97" s="46" t="n"/>
      <c r="G97" s="45" t="n"/>
      <c r="H97" s="45" t="n"/>
      <c r="I97" s="45" t="n"/>
      <c r="J97" s="47" t="n"/>
      <c r="K97" s="46" t="n"/>
      <c r="L97" s="47" t="n"/>
      <c r="M97" s="46" t="n"/>
      <c r="N97" s="45" t="n"/>
      <c r="O97" s="45" t="n"/>
    </row>
    <row r="98">
      <c r="A98" s="42" t="n"/>
      <c r="B98" s="42" t="n"/>
      <c r="C98" s="42" t="n"/>
      <c r="D98" s="42" t="n"/>
      <c r="E98" s="42" t="n"/>
      <c r="F98" s="43" t="n"/>
      <c r="G98" s="42" t="n"/>
      <c r="H98" s="42" t="n"/>
      <c r="I98" s="42" t="n"/>
      <c r="J98" s="44" t="n"/>
      <c r="K98" s="43" t="n"/>
      <c r="L98" s="44" t="n"/>
      <c r="M98" s="43" t="n"/>
      <c r="N98" s="42" t="n"/>
      <c r="O98" s="42" t="n"/>
    </row>
    <row r="99">
      <c r="A99" s="45" t="n"/>
      <c r="B99" s="45" t="n"/>
      <c r="C99" s="45" t="n"/>
      <c r="D99" s="45" t="n"/>
      <c r="E99" s="45" t="n"/>
      <c r="F99" s="46" t="n"/>
      <c r="G99" s="45" t="n"/>
      <c r="H99" s="45" t="n"/>
      <c r="I99" s="45" t="n"/>
      <c r="J99" s="47" t="n"/>
      <c r="K99" s="46" t="n"/>
      <c r="L99" s="47" t="n"/>
      <c r="M99" s="46" t="n"/>
      <c r="N99" s="45" t="n"/>
      <c r="O99" s="45" t="n"/>
    </row>
    <row r="100">
      <c r="A100" s="42" t="n"/>
      <c r="B100" s="42" t="n"/>
      <c r="C100" s="42" t="n"/>
      <c r="D100" s="42" t="n"/>
      <c r="E100" s="42" t="n"/>
      <c r="F100" s="43" t="n"/>
      <c r="G100" s="42" t="n"/>
      <c r="H100" s="42" t="n"/>
      <c r="I100" s="42" t="n"/>
      <c r="J100" s="44" t="n"/>
      <c r="K100" s="43" t="n"/>
      <c r="L100" s="44" t="n"/>
      <c r="M100" s="43" t="n"/>
      <c r="N100" s="42" t="n"/>
      <c r="O100" s="42" t="n"/>
    </row>
    <row r="101">
      <c r="A101" s="45" t="n"/>
      <c r="B101" s="45" t="n"/>
      <c r="C101" s="45" t="n"/>
      <c r="D101" s="45" t="n"/>
      <c r="E101" s="45" t="n"/>
      <c r="F101" s="46" t="n"/>
      <c r="G101" s="45" t="n"/>
      <c r="H101" s="45" t="n"/>
      <c r="I101" s="45" t="n"/>
      <c r="J101" s="47" t="n"/>
      <c r="K101" s="46" t="n"/>
      <c r="L101" s="47" t="n"/>
      <c r="M101" s="46" t="n"/>
      <c r="N101" s="45" t="n"/>
      <c r="O101" s="45" t="n"/>
    </row>
    <row r="102">
      <c r="A102" s="42" t="n"/>
      <c r="B102" s="42" t="n"/>
      <c r="C102" s="42" t="n"/>
      <c r="D102" s="42" t="n"/>
      <c r="E102" s="42" t="n"/>
      <c r="F102" s="43" t="n"/>
      <c r="G102" s="42" t="n"/>
      <c r="H102" s="42" t="n"/>
      <c r="I102" s="42" t="n"/>
      <c r="J102" s="44" t="n"/>
      <c r="K102" s="43" t="n"/>
      <c r="L102" s="44" t="n"/>
      <c r="M102" s="43" t="n"/>
      <c r="N102" s="42" t="n"/>
      <c r="O102" s="42" t="n"/>
    </row>
    <row r="103">
      <c r="A103" s="45" t="n"/>
      <c r="B103" s="45" t="n"/>
      <c r="C103" s="45" t="n"/>
      <c r="D103" s="45" t="n"/>
      <c r="E103" s="45" t="n"/>
      <c r="F103" s="46" t="n"/>
      <c r="G103" s="45" t="n"/>
      <c r="H103" s="45" t="n"/>
      <c r="I103" s="45" t="n"/>
      <c r="J103" s="47" t="n"/>
      <c r="K103" s="46" t="n"/>
      <c r="L103" s="47" t="n"/>
      <c r="M103" s="46" t="n"/>
      <c r="N103" s="45" t="n"/>
      <c r="O103" s="45" t="n"/>
    </row>
    <row r="104">
      <c r="A104" s="42" t="n"/>
      <c r="B104" s="42" t="n"/>
      <c r="C104" s="42" t="n"/>
      <c r="D104" s="42" t="n"/>
      <c r="E104" s="42" t="n"/>
      <c r="F104" s="43" t="n"/>
      <c r="G104" s="42" t="n"/>
      <c r="H104" s="42" t="n"/>
      <c r="I104" s="42" t="n"/>
      <c r="J104" s="44" t="n"/>
      <c r="K104" s="43" t="n"/>
      <c r="L104" s="44" t="n"/>
      <c r="M104" s="43" t="n"/>
      <c r="N104" s="42" t="n"/>
      <c r="O104" s="42" t="n"/>
    </row>
    <row r="105">
      <c r="A105" s="45" t="n"/>
      <c r="B105" s="45" t="n"/>
      <c r="C105" s="45" t="n"/>
      <c r="D105" s="45" t="n"/>
      <c r="E105" s="45" t="n"/>
      <c r="F105" s="46" t="n"/>
      <c r="G105" s="45" t="n"/>
      <c r="H105" s="45" t="n"/>
      <c r="I105" s="45" t="n"/>
      <c r="J105" s="47" t="n"/>
      <c r="K105" s="46" t="n"/>
      <c r="L105" s="47" t="n"/>
      <c r="M105" s="46" t="n"/>
      <c r="N105" s="45" t="n"/>
      <c r="O105" s="45" t="n"/>
    </row>
    <row r="106">
      <c r="A106" s="42" t="n"/>
      <c r="B106" s="42" t="n"/>
      <c r="C106" s="42" t="n"/>
      <c r="D106" s="42" t="n"/>
      <c r="E106" s="42" t="n"/>
      <c r="F106" s="43" t="n"/>
      <c r="G106" s="42" t="n"/>
      <c r="H106" s="42" t="n"/>
      <c r="I106" s="42" t="n"/>
      <c r="J106" s="44" t="n"/>
      <c r="K106" s="43" t="n"/>
      <c r="L106" s="44" t="n"/>
      <c r="M106" s="43" t="n"/>
      <c r="N106" s="42" t="n"/>
      <c r="O106" s="42" t="n"/>
    </row>
    <row r="107">
      <c r="A107" s="45" t="n"/>
      <c r="B107" s="45" t="n"/>
      <c r="C107" s="45" t="n"/>
      <c r="D107" s="45" t="n"/>
      <c r="E107" s="45" t="n"/>
      <c r="F107" s="46" t="n"/>
      <c r="G107" s="45" t="n"/>
      <c r="H107" s="45" t="n"/>
      <c r="I107" s="45" t="n"/>
      <c r="J107" s="47" t="n"/>
      <c r="K107" s="46" t="n"/>
      <c r="L107" s="47" t="n"/>
      <c r="M107" s="46" t="n"/>
      <c r="N107" s="45" t="n"/>
      <c r="O107" s="45" t="n"/>
    </row>
    <row r="108">
      <c r="A108" s="42" t="n"/>
      <c r="B108" s="42" t="n"/>
      <c r="C108" s="42" t="n"/>
      <c r="D108" s="42" t="n"/>
      <c r="E108" s="42" t="n"/>
      <c r="F108" s="43" t="n"/>
      <c r="G108" s="42" t="n"/>
      <c r="H108" s="42" t="n"/>
      <c r="I108" s="42" t="n"/>
      <c r="J108" s="44" t="n"/>
      <c r="K108" s="43" t="n"/>
      <c r="L108" s="44" t="n"/>
      <c r="M108" s="43" t="n"/>
      <c r="N108" s="42" t="n"/>
      <c r="O108" s="42" t="n"/>
    </row>
    <row r="109">
      <c r="A109" s="45" t="n"/>
      <c r="B109" s="45" t="n"/>
      <c r="C109" s="45" t="n"/>
      <c r="D109" s="45" t="n"/>
      <c r="E109" s="45" t="n"/>
      <c r="F109" s="46" t="n"/>
      <c r="G109" s="45" t="n"/>
      <c r="H109" s="45" t="n"/>
      <c r="I109" s="45" t="n"/>
      <c r="J109" s="47" t="n"/>
      <c r="K109" s="46" t="n"/>
      <c r="L109" s="47" t="n"/>
      <c r="M109" s="46" t="n"/>
      <c r="N109" s="45" t="n"/>
      <c r="O109" s="45" t="n"/>
    </row>
    <row r="110">
      <c r="A110" s="42" t="n"/>
      <c r="B110" s="42" t="n"/>
      <c r="C110" s="42" t="n"/>
      <c r="D110" s="42" t="n"/>
      <c r="E110" s="42" t="n"/>
      <c r="F110" s="43" t="n"/>
      <c r="G110" s="42" t="n"/>
      <c r="H110" s="42" t="n"/>
      <c r="I110" s="42" t="n"/>
      <c r="J110" s="44" t="n"/>
      <c r="K110" s="43" t="n"/>
      <c r="L110" s="44" t="n"/>
      <c r="M110" s="43" t="n"/>
      <c r="N110" s="42" t="n"/>
      <c r="O110" s="42" t="n"/>
    </row>
    <row r="111">
      <c r="A111" s="45" t="n"/>
      <c r="B111" s="45" t="n"/>
      <c r="C111" s="45" t="n"/>
      <c r="D111" s="45" t="n"/>
      <c r="E111" s="45" t="n"/>
      <c r="F111" s="46" t="n"/>
      <c r="G111" s="45" t="n"/>
      <c r="H111" s="45" t="n"/>
      <c r="I111" s="45" t="n"/>
      <c r="J111" s="47" t="n"/>
      <c r="K111" s="46" t="n"/>
      <c r="L111" s="47" t="n"/>
      <c r="M111" s="46" t="n"/>
      <c r="N111" s="45" t="n"/>
      <c r="O111" s="45" t="n"/>
    </row>
    <row r="112">
      <c r="A112" s="42" t="n"/>
      <c r="B112" s="42" t="n"/>
      <c r="C112" s="42" t="n"/>
      <c r="D112" s="42" t="n"/>
      <c r="E112" s="42" t="n"/>
      <c r="F112" s="43" t="n"/>
      <c r="G112" s="42" t="n"/>
      <c r="H112" s="42" t="n"/>
      <c r="I112" s="42" t="n"/>
      <c r="J112" s="44" t="n"/>
      <c r="K112" s="43" t="n"/>
      <c r="L112" s="44" t="n"/>
      <c r="M112" s="43" t="n"/>
      <c r="N112" s="42" t="n"/>
      <c r="O112" s="42" t="n"/>
    </row>
    <row r="113">
      <c r="A113" s="45" t="n"/>
      <c r="B113" s="45" t="n"/>
      <c r="C113" s="45" t="n"/>
      <c r="D113" s="45" t="n"/>
      <c r="E113" s="45" t="n"/>
      <c r="F113" s="46" t="n"/>
      <c r="G113" s="45" t="n"/>
      <c r="H113" s="45" t="n"/>
      <c r="I113" s="45" t="n"/>
      <c r="J113" s="47" t="n"/>
      <c r="K113" s="46" t="n"/>
      <c r="L113" s="47" t="n"/>
      <c r="M113" s="46" t="n"/>
      <c r="N113" s="45" t="n"/>
      <c r="O113" s="45" t="n"/>
    </row>
    <row r="114">
      <c r="A114" s="42" t="n"/>
      <c r="B114" s="42" t="n"/>
      <c r="C114" s="42" t="n"/>
      <c r="D114" s="42" t="n"/>
      <c r="E114" s="42" t="n"/>
      <c r="F114" s="43" t="n"/>
      <c r="G114" s="42" t="n"/>
      <c r="H114" s="42" t="n"/>
      <c r="I114" s="42" t="n"/>
      <c r="J114" s="44" t="n"/>
      <c r="K114" s="43" t="n"/>
      <c r="L114" s="44" t="n"/>
      <c r="M114" s="43" t="n"/>
      <c r="N114" s="42" t="n"/>
      <c r="O114" s="42" t="n"/>
    </row>
    <row r="115">
      <c r="A115" s="45" t="n"/>
      <c r="B115" s="45" t="n"/>
      <c r="C115" s="45" t="n"/>
      <c r="D115" s="45" t="n"/>
      <c r="E115" s="45" t="n"/>
      <c r="F115" s="46" t="n"/>
      <c r="G115" s="45" t="n"/>
      <c r="H115" s="45" t="n"/>
      <c r="I115" s="45" t="n"/>
      <c r="J115" s="47" t="n"/>
      <c r="K115" s="46" t="n"/>
      <c r="L115" s="47" t="n"/>
      <c r="M115" s="46" t="n"/>
      <c r="N115" s="45" t="n"/>
      <c r="O115" s="45" t="n"/>
    </row>
    <row r="116">
      <c r="A116" s="42" t="n"/>
      <c r="B116" s="42" t="n"/>
      <c r="C116" s="42" t="n"/>
      <c r="D116" s="42" t="n"/>
      <c r="E116" s="42" t="n"/>
      <c r="F116" s="43" t="n"/>
      <c r="G116" s="42" t="n"/>
      <c r="H116" s="42" t="n"/>
      <c r="I116" s="42" t="n"/>
      <c r="J116" s="44" t="n"/>
      <c r="K116" s="43" t="n"/>
      <c r="L116" s="44" t="n"/>
      <c r="M116" s="43" t="n"/>
      <c r="N116" s="42" t="n"/>
      <c r="O116" s="42" t="n"/>
    </row>
    <row r="117">
      <c r="A117" s="45" t="n"/>
      <c r="B117" s="45" t="n"/>
      <c r="C117" s="45" t="n"/>
      <c r="D117" s="45" t="n"/>
      <c r="E117" s="45" t="n"/>
      <c r="F117" s="46" t="n"/>
      <c r="G117" s="45" t="n"/>
      <c r="H117" s="45" t="n"/>
      <c r="I117" s="45" t="n"/>
      <c r="J117" s="47" t="n"/>
      <c r="K117" s="46" t="n"/>
      <c r="L117" s="47" t="n"/>
      <c r="M117" s="46" t="n"/>
      <c r="N117" s="45" t="n"/>
      <c r="O117" s="45" t="n"/>
    </row>
    <row r="118">
      <c r="A118" s="42" t="n"/>
      <c r="B118" s="42" t="n"/>
      <c r="C118" s="42" t="n"/>
      <c r="D118" s="42" t="n"/>
      <c r="E118" s="42" t="n"/>
      <c r="F118" s="43" t="n"/>
      <c r="G118" s="42" t="n"/>
      <c r="H118" s="42" t="n"/>
      <c r="I118" s="42" t="n"/>
      <c r="J118" s="44" t="n"/>
      <c r="K118" s="43" t="n"/>
      <c r="L118" s="44" t="n"/>
      <c r="M118" s="43" t="n"/>
      <c r="N118" s="42" t="n"/>
      <c r="O118" s="42" t="n"/>
    </row>
    <row r="119">
      <c r="A119" s="45" t="n"/>
      <c r="B119" s="45" t="n"/>
      <c r="C119" s="45" t="n"/>
      <c r="D119" s="45" t="n"/>
      <c r="E119" s="45" t="n"/>
      <c r="F119" s="46" t="n"/>
      <c r="G119" s="45" t="n"/>
      <c r="H119" s="45" t="n"/>
      <c r="I119" s="45" t="n"/>
      <c r="J119" s="47" t="n"/>
      <c r="K119" s="46" t="n"/>
      <c r="L119" s="47" t="n"/>
      <c r="M119" s="46" t="n"/>
      <c r="N119" s="45" t="n"/>
      <c r="O119" s="45" t="n"/>
    </row>
    <row r="120">
      <c r="A120" s="42" t="n"/>
      <c r="B120" s="42" t="n"/>
      <c r="C120" s="42" t="n"/>
      <c r="D120" s="42" t="n"/>
      <c r="E120" s="42" t="n"/>
      <c r="F120" s="43" t="n"/>
      <c r="G120" s="42" t="n"/>
      <c r="H120" s="42" t="n"/>
      <c r="I120" s="42" t="n"/>
      <c r="J120" s="44" t="n"/>
      <c r="K120" s="43" t="n"/>
      <c r="L120" s="44" t="n"/>
      <c r="M120" s="43" t="n"/>
      <c r="N120" s="42" t="n"/>
      <c r="O120" s="42" t="n"/>
    </row>
    <row r="121">
      <c r="A121" s="45" t="n"/>
      <c r="B121" s="45" t="n"/>
      <c r="C121" s="45" t="n"/>
      <c r="D121" s="45" t="n"/>
      <c r="E121" s="45" t="n"/>
      <c r="F121" s="46" t="n"/>
      <c r="G121" s="45" t="n"/>
      <c r="H121" s="45" t="n"/>
      <c r="I121" s="45" t="n"/>
      <c r="J121" s="47" t="n"/>
      <c r="K121" s="46" t="n"/>
      <c r="L121" s="47" t="n"/>
      <c r="M121" s="46" t="n"/>
      <c r="N121" s="45" t="n"/>
      <c r="O121" s="45" t="n"/>
    </row>
    <row r="122">
      <c r="A122" s="42" t="n"/>
      <c r="B122" s="42" t="n"/>
      <c r="C122" s="42" t="n"/>
      <c r="D122" s="42" t="n"/>
      <c r="E122" s="42" t="n"/>
      <c r="F122" s="43" t="n"/>
      <c r="G122" s="42" t="n"/>
      <c r="H122" s="42" t="n"/>
      <c r="I122" s="42" t="n"/>
      <c r="J122" s="44" t="n"/>
      <c r="K122" s="43" t="n"/>
      <c r="L122" s="44" t="n"/>
      <c r="M122" s="43" t="n"/>
      <c r="N122" s="42" t="n"/>
      <c r="O122" s="42" t="n"/>
    </row>
    <row r="123">
      <c r="A123" s="45" t="n"/>
      <c r="B123" s="45" t="n"/>
      <c r="C123" s="45" t="n"/>
      <c r="D123" s="45" t="n"/>
      <c r="E123" s="45" t="n"/>
      <c r="F123" s="46" t="n"/>
      <c r="G123" s="45" t="n"/>
      <c r="H123" s="45" t="n"/>
      <c r="I123" s="45" t="n"/>
      <c r="J123" s="47" t="n"/>
      <c r="K123" s="46" t="n"/>
      <c r="L123" s="47" t="n"/>
      <c r="M123" s="46" t="n"/>
      <c r="N123" s="45" t="n"/>
      <c r="O123" s="45" t="n"/>
    </row>
    <row r="124">
      <c r="A124" s="42" t="n"/>
      <c r="B124" s="42" t="n"/>
      <c r="C124" s="42" t="n"/>
      <c r="D124" s="42" t="n"/>
      <c r="E124" s="42" t="n"/>
      <c r="F124" s="43" t="n"/>
      <c r="G124" s="42" t="n"/>
      <c r="H124" s="42" t="n"/>
      <c r="I124" s="42" t="n"/>
      <c r="J124" s="44" t="n"/>
      <c r="K124" s="43" t="n"/>
      <c r="L124" s="44" t="n"/>
      <c r="M124" s="43" t="n"/>
      <c r="N124" s="42" t="n"/>
      <c r="O124" s="42" t="n"/>
    </row>
    <row r="125">
      <c r="A125" s="45" t="n"/>
      <c r="B125" s="45" t="n"/>
      <c r="C125" s="45" t="n"/>
      <c r="D125" s="45" t="n"/>
      <c r="E125" s="45" t="n"/>
      <c r="F125" s="46" t="n"/>
      <c r="G125" s="45" t="n"/>
      <c r="H125" s="45" t="n"/>
      <c r="I125" s="45" t="n"/>
      <c r="J125" s="47" t="n"/>
      <c r="K125" s="46" t="n"/>
      <c r="L125" s="47" t="n"/>
      <c r="M125" s="46" t="n"/>
      <c r="N125" s="45" t="n"/>
      <c r="O125" s="45" t="n"/>
    </row>
    <row r="126">
      <c r="A126" s="42" t="n"/>
      <c r="B126" s="42" t="n"/>
      <c r="C126" s="42" t="n"/>
      <c r="D126" s="42" t="n"/>
      <c r="E126" s="42" t="n"/>
      <c r="F126" s="43" t="n"/>
      <c r="G126" s="42" t="n"/>
      <c r="H126" s="42" t="n"/>
      <c r="I126" s="42" t="n"/>
      <c r="J126" s="44" t="n"/>
      <c r="K126" s="43" t="n"/>
      <c r="L126" s="44" t="n"/>
      <c r="M126" s="43" t="n"/>
      <c r="N126" s="42" t="n"/>
      <c r="O126" s="42" t="n"/>
    </row>
    <row r="127">
      <c r="A127" s="45" t="n"/>
      <c r="B127" s="45" t="n"/>
      <c r="C127" s="45" t="n"/>
      <c r="D127" s="45" t="n"/>
      <c r="E127" s="45" t="n"/>
      <c r="F127" s="46" t="n"/>
      <c r="G127" s="45" t="n"/>
      <c r="H127" s="45" t="n"/>
      <c r="I127" s="45" t="n"/>
      <c r="J127" s="47" t="n"/>
      <c r="K127" s="46" t="n"/>
      <c r="L127" s="47" t="n"/>
      <c r="M127" s="46" t="n"/>
      <c r="N127" s="45" t="n"/>
      <c r="O127" s="45" t="n"/>
    </row>
    <row r="128">
      <c r="A128" s="42" t="n"/>
      <c r="B128" s="42" t="n"/>
      <c r="C128" s="42" t="n"/>
      <c r="D128" s="42" t="n"/>
      <c r="E128" s="42" t="n"/>
      <c r="F128" s="43" t="n"/>
      <c r="G128" s="42" t="n"/>
      <c r="H128" s="42" t="n"/>
      <c r="I128" s="42" t="n"/>
      <c r="J128" s="44" t="n"/>
      <c r="K128" s="43" t="n"/>
      <c r="L128" s="44" t="n"/>
      <c r="M128" s="43" t="n"/>
      <c r="N128" s="42" t="n"/>
      <c r="O128" s="42" t="n"/>
    </row>
    <row r="129">
      <c r="A129" s="45" t="n"/>
      <c r="B129" s="45" t="n"/>
      <c r="C129" s="45" t="n"/>
      <c r="D129" s="45" t="n"/>
      <c r="E129" s="45" t="n"/>
      <c r="F129" s="46" t="n"/>
      <c r="G129" s="45" t="n"/>
      <c r="H129" s="45" t="n"/>
      <c r="I129" s="45" t="n"/>
      <c r="J129" s="47" t="n"/>
      <c r="K129" s="46" t="n"/>
      <c r="L129" s="47" t="n"/>
      <c r="M129" s="46" t="n"/>
      <c r="N129" s="45" t="n"/>
      <c r="O129" s="45" t="n"/>
    </row>
    <row r="130">
      <c r="A130" s="42" t="n"/>
      <c r="B130" s="42" t="n"/>
      <c r="C130" s="42" t="n"/>
      <c r="D130" s="42" t="n"/>
      <c r="E130" s="42" t="n"/>
      <c r="F130" s="43" t="n"/>
      <c r="G130" s="42" t="n"/>
      <c r="H130" s="42" t="n"/>
      <c r="I130" s="42" t="n"/>
      <c r="J130" s="44" t="n"/>
      <c r="K130" s="43" t="n"/>
      <c r="L130" s="44" t="n"/>
      <c r="M130" s="43" t="n"/>
      <c r="N130" s="42" t="n"/>
      <c r="O130" s="42" t="n"/>
    </row>
    <row r="131">
      <c r="A131" s="45" t="n"/>
      <c r="B131" s="45" t="n"/>
      <c r="C131" s="45" t="n"/>
      <c r="D131" s="45" t="n"/>
      <c r="E131" s="45" t="n"/>
      <c r="F131" s="46" t="n"/>
      <c r="G131" s="45" t="n"/>
      <c r="H131" s="45" t="n"/>
      <c r="I131" s="45" t="n"/>
      <c r="J131" s="47" t="n"/>
      <c r="K131" s="46" t="n"/>
      <c r="L131" s="47" t="n"/>
      <c r="M131" s="46" t="n"/>
      <c r="N131" s="45" t="n"/>
      <c r="O131" s="45" t="n"/>
    </row>
    <row r="132">
      <c r="A132" s="42" t="n"/>
      <c r="B132" s="42" t="n"/>
      <c r="C132" s="42" t="n"/>
      <c r="D132" s="42" t="n"/>
      <c r="E132" s="42" t="n"/>
      <c r="F132" s="43" t="n"/>
      <c r="G132" s="42" t="n"/>
      <c r="H132" s="42" t="n"/>
      <c r="I132" s="42" t="n"/>
      <c r="J132" s="44" t="n"/>
      <c r="K132" s="43" t="n"/>
      <c r="L132" s="44" t="n"/>
      <c r="M132" s="43" t="n"/>
      <c r="N132" s="42" t="n"/>
      <c r="O132" s="42" t="n"/>
    </row>
    <row r="133">
      <c r="A133" s="45" t="n"/>
      <c r="B133" s="45" t="n"/>
      <c r="C133" s="45" t="n"/>
      <c r="D133" s="45" t="n"/>
      <c r="E133" s="45" t="n"/>
      <c r="F133" s="46" t="n"/>
      <c r="G133" s="45" t="n"/>
      <c r="H133" s="45" t="n"/>
      <c r="I133" s="45" t="n"/>
      <c r="J133" s="47" t="n"/>
      <c r="K133" s="46" t="n"/>
      <c r="L133" s="47" t="n"/>
      <c r="M133" s="46" t="n"/>
      <c r="N133" s="45" t="n"/>
      <c r="O133" s="45" t="n"/>
    </row>
    <row r="134">
      <c r="A134" s="42" t="n"/>
      <c r="B134" s="42" t="n"/>
      <c r="C134" s="42" t="n"/>
      <c r="D134" s="42" t="n"/>
      <c r="E134" s="42" t="n"/>
      <c r="F134" s="43" t="n"/>
      <c r="G134" s="42" t="n"/>
      <c r="H134" s="42" t="n"/>
      <c r="I134" s="42" t="n"/>
      <c r="J134" s="44" t="n"/>
      <c r="K134" s="43" t="n"/>
      <c r="L134" s="44" t="n"/>
      <c r="M134" s="43" t="n"/>
      <c r="N134" s="42" t="n"/>
      <c r="O134" s="42" t="n"/>
    </row>
    <row r="135">
      <c r="A135" s="45" t="n"/>
      <c r="B135" s="45" t="n"/>
      <c r="C135" s="45" t="n"/>
      <c r="D135" s="45" t="n"/>
      <c r="E135" s="45" t="n"/>
      <c r="F135" s="46" t="n"/>
      <c r="G135" s="45" t="n"/>
      <c r="H135" s="45" t="n"/>
      <c r="I135" s="45" t="n"/>
      <c r="J135" s="47" t="n"/>
      <c r="K135" s="46" t="n"/>
      <c r="L135" s="47" t="n"/>
      <c r="M135" s="46" t="n"/>
      <c r="N135" s="45" t="n"/>
      <c r="O135" s="45" t="n"/>
    </row>
    <row r="136">
      <c r="A136" s="42" t="n"/>
      <c r="B136" s="42" t="n"/>
      <c r="C136" s="42" t="n"/>
      <c r="D136" s="42" t="n"/>
      <c r="E136" s="42" t="n"/>
      <c r="F136" s="43" t="n"/>
      <c r="G136" s="42" t="n"/>
      <c r="H136" s="42" t="n"/>
      <c r="I136" s="42" t="n"/>
      <c r="J136" s="44" t="n"/>
      <c r="K136" s="43" t="n"/>
      <c r="L136" s="44" t="n"/>
      <c r="M136" s="43" t="n"/>
      <c r="N136" s="42" t="n"/>
      <c r="O136" s="42" t="n"/>
    </row>
    <row r="137">
      <c r="A137" s="45" t="n"/>
      <c r="B137" s="45" t="n"/>
      <c r="C137" s="45" t="n"/>
      <c r="D137" s="45" t="n"/>
      <c r="E137" s="45" t="n"/>
      <c r="F137" s="46" t="n"/>
      <c r="G137" s="45" t="n"/>
      <c r="H137" s="45" t="n"/>
      <c r="I137" s="45" t="n"/>
      <c r="J137" s="47" t="n"/>
      <c r="K137" s="46" t="n"/>
      <c r="L137" s="47" t="n"/>
      <c r="M137" s="46" t="n"/>
      <c r="N137" s="45" t="n"/>
      <c r="O137" s="45" t="n"/>
    </row>
    <row r="138">
      <c r="A138" s="42" t="n"/>
      <c r="B138" s="42" t="n"/>
      <c r="C138" s="42" t="n"/>
      <c r="D138" s="42" t="n"/>
      <c r="E138" s="42" t="n"/>
      <c r="F138" s="43" t="n"/>
      <c r="G138" s="42" t="n"/>
      <c r="H138" s="42" t="n"/>
      <c r="I138" s="42" t="n"/>
      <c r="J138" s="44" t="n"/>
      <c r="K138" s="43" t="n"/>
      <c r="L138" s="44" t="n"/>
      <c r="M138" s="43" t="n"/>
      <c r="N138" s="42" t="n"/>
      <c r="O138" s="42" t="n"/>
    </row>
    <row r="139">
      <c r="A139" s="45" t="n"/>
      <c r="B139" s="45" t="n"/>
      <c r="C139" s="45" t="n"/>
      <c r="D139" s="45" t="n"/>
      <c r="E139" s="45" t="n"/>
      <c r="F139" s="46" t="n"/>
      <c r="G139" s="45" t="n"/>
      <c r="H139" s="45" t="n"/>
      <c r="I139" s="45" t="n"/>
      <c r="J139" s="47" t="n"/>
      <c r="K139" s="46" t="n"/>
      <c r="L139" s="47" t="n"/>
      <c r="M139" s="46" t="n"/>
      <c r="N139" s="45" t="n"/>
      <c r="O139" s="45" t="n"/>
    </row>
    <row r="140">
      <c r="A140" s="42" t="n"/>
      <c r="B140" s="42" t="n"/>
      <c r="C140" s="42" t="n"/>
      <c r="D140" s="42" t="n"/>
      <c r="E140" s="42" t="n"/>
      <c r="F140" s="43" t="n"/>
      <c r="G140" s="42" t="n"/>
      <c r="H140" s="42" t="n"/>
      <c r="I140" s="42" t="n"/>
      <c r="J140" s="44" t="n"/>
      <c r="K140" s="43" t="n"/>
      <c r="L140" s="44" t="n"/>
      <c r="M140" s="43" t="n"/>
      <c r="N140" s="42" t="n"/>
      <c r="O140" s="42" t="n"/>
    </row>
    <row r="141">
      <c r="A141" s="45" t="n"/>
      <c r="B141" s="45" t="n"/>
      <c r="C141" s="45" t="n"/>
      <c r="D141" s="45" t="n"/>
      <c r="E141" s="45" t="n"/>
      <c r="F141" s="46" t="n"/>
      <c r="G141" s="45" t="n"/>
      <c r="H141" s="45" t="n"/>
      <c r="I141" s="45" t="n"/>
      <c r="J141" s="47" t="n"/>
      <c r="K141" s="46" t="n"/>
      <c r="L141" s="47" t="n"/>
      <c r="M141" s="46" t="n"/>
      <c r="N141" s="45" t="n"/>
      <c r="O141" s="45" t="n"/>
    </row>
    <row r="142">
      <c r="A142" s="42" t="n"/>
      <c r="B142" s="42" t="n"/>
      <c r="C142" s="42" t="n"/>
      <c r="D142" s="42" t="n"/>
      <c r="E142" s="42" t="n"/>
      <c r="F142" s="43" t="n"/>
      <c r="G142" s="42" t="n"/>
      <c r="H142" s="42" t="n"/>
      <c r="I142" s="42" t="n"/>
      <c r="J142" s="44" t="n"/>
      <c r="K142" s="43" t="n"/>
      <c r="L142" s="44" t="n"/>
      <c r="M142" s="43" t="n"/>
      <c r="N142" s="42" t="n"/>
      <c r="O142" s="42" t="n"/>
    </row>
    <row r="143">
      <c r="A143" s="45" t="n"/>
      <c r="B143" s="45" t="n"/>
      <c r="C143" s="45" t="n"/>
      <c r="D143" s="45" t="n"/>
      <c r="E143" s="45" t="n"/>
      <c r="F143" s="46" t="n"/>
      <c r="G143" s="45" t="n"/>
      <c r="H143" s="45" t="n"/>
      <c r="I143" s="45" t="n"/>
      <c r="J143" s="47" t="n"/>
      <c r="K143" s="46" t="n"/>
      <c r="L143" s="47" t="n"/>
      <c r="M143" s="46" t="n"/>
      <c r="N143" s="45" t="n"/>
      <c r="O143" s="45" t="n"/>
    </row>
    <row r="144">
      <c r="A144" s="42" t="n"/>
      <c r="B144" s="42" t="n"/>
      <c r="C144" s="42" t="n"/>
      <c r="D144" s="42" t="n"/>
      <c r="E144" s="42" t="n"/>
      <c r="F144" s="43" t="n"/>
      <c r="G144" s="42" t="n"/>
      <c r="H144" s="42" t="n"/>
      <c r="I144" s="42" t="n"/>
      <c r="J144" s="44" t="n"/>
      <c r="K144" s="43" t="n"/>
      <c r="L144" s="44" t="n"/>
      <c r="M144" s="43" t="n"/>
      <c r="N144" s="42" t="n"/>
      <c r="O144" s="42" t="n"/>
    </row>
    <row r="145">
      <c r="A145" s="45" t="n"/>
      <c r="B145" s="45" t="n"/>
      <c r="C145" s="45" t="n"/>
      <c r="D145" s="45" t="n"/>
      <c r="E145" s="45" t="n"/>
      <c r="F145" s="46" t="n"/>
      <c r="G145" s="45" t="n"/>
      <c r="H145" s="45" t="n"/>
      <c r="I145" s="45" t="n"/>
      <c r="J145" s="47" t="n"/>
      <c r="K145" s="46" t="n"/>
      <c r="L145" s="47" t="n"/>
      <c r="M145" s="46" t="n"/>
      <c r="N145" s="45" t="n"/>
      <c r="O145" s="45" t="n"/>
    </row>
    <row r="146">
      <c r="A146" s="42" t="n"/>
      <c r="B146" s="42" t="n"/>
      <c r="C146" s="42" t="n"/>
      <c r="D146" s="42" t="n"/>
      <c r="E146" s="42" t="n"/>
      <c r="F146" s="43" t="n"/>
      <c r="G146" s="42" t="n"/>
      <c r="H146" s="42" t="n"/>
      <c r="I146" s="42" t="n"/>
      <c r="J146" s="44" t="n"/>
      <c r="K146" s="43" t="n"/>
      <c r="L146" s="44" t="n"/>
      <c r="M146" s="43" t="n"/>
      <c r="N146" s="42" t="n"/>
      <c r="O146" s="42" t="n"/>
    </row>
    <row r="147">
      <c r="A147" s="45" t="n"/>
      <c r="B147" s="45" t="n"/>
      <c r="C147" s="45" t="n"/>
      <c r="D147" s="45" t="n"/>
      <c r="E147" s="45" t="n"/>
      <c r="F147" s="46" t="n"/>
      <c r="G147" s="45" t="n"/>
      <c r="H147" s="45" t="n"/>
      <c r="I147" s="45" t="n"/>
      <c r="J147" s="47" t="n"/>
      <c r="K147" s="46" t="n"/>
      <c r="L147" s="47" t="n"/>
      <c r="M147" s="46" t="n"/>
      <c r="N147" s="45" t="n"/>
      <c r="O147" s="45" t="n"/>
    </row>
    <row r="148">
      <c r="A148" s="42" t="n"/>
      <c r="B148" s="42" t="n"/>
      <c r="C148" s="42" t="n"/>
      <c r="D148" s="42" t="n"/>
      <c r="E148" s="42" t="n"/>
      <c r="F148" s="43" t="n"/>
      <c r="G148" s="42" t="n"/>
      <c r="H148" s="42" t="n"/>
      <c r="I148" s="42" t="n"/>
      <c r="J148" s="44" t="n"/>
      <c r="K148" s="43" t="n"/>
      <c r="L148" s="44" t="n"/>
      <c r="M148" s="43" t="n"/>
      <c r="N148" s="42" t="n"/>
      <c r="O148" s="42" t="n"/>
    </row>
    <row r="149">
      <c r="A149" s="45" t="n"/>
      <c r="B149" s="45" t="n"/>
      <c r="C149" s="45" t="n"/>
      <c r="D149" s="45" t="n"/>
      <c r="E149" s="45" t="n"/>
      <c r="F149" s="46" t="n"/>
      <c r="G149" s="45" t="n"/>
      <c r="H149" s="45" t="n"/>
      <c r="I149" s="45" t="n"/>
      <c r="J149" s="47" t="n"/>
      <c r="K149" s="46" t="n"/>
      <c r="L149" s="47" t="n"/>
      <c r="M149" s="46" t="n"/>
      <c r="N149" s="45" t="n"/>
      <c r="O149" s="45" t="n"/>
    </row>
    <row r="150">
      <c r="A150" s="42" t="n"/>
      <c r="B150" s="42" t="n"/>
      <c r="C150" s="42" t="n"/>
      <c r="D150" s="42" t="n"/>
      <c r="E150" s="42" t="n"/>
      <c r="F150" s="43" t="n"/>
      <c r="G150" s="42" t="n"/>
      <c r="H150" s="42" t="n"/>
      <c r="I150" s="42" t="n"/>
      <c r="J150" s="44" t="n"/>
      <c r="K150" s="43" t="n"/>
      <c r="L150" s="44" t="n"/>
      <c r="M150" s="43" t="n"/>
      <c r="N150" s="42" t="n"/>
      <c r="O150" s="42" t="n"/>
    </row>
    <row r="151">
      <c r="A151" s="45" t="n"/>
      <c r="B151" s="45" t="n"/>
      <c r="C151" s="45" t="n"/>
      <c r="D151" s="45" t="n"/>
      <c r="E151" s="45" t="n"/>
      <c r="F151" s="46" t="n"/>
      <c r="G151" s="45" t="n"/>
      <c r="H151" s="45" t="n"/>
      <c r="I151" s="45" t="n"/>
      <c r="J151" s="47" t="n"/>
      <c r="K151" s="46" t="n"/>
      <c r="L151" s="47" t="n"/>
      <c r="M151" s="46" t="n"/>
      <c r="N151" s="45" t="n"/>
      <c r="O151" s="45" t="n"/>
    </row>
    <row r="152">
      <c r="A152" s="42" t="n"/>
      <c r="B152" s="42" t="n"/>
      <c r="C152" s="42" t="n"/>
      <c r="D152" s="42" t="n"/>
      <c r="E152" s="42" t="n"/>
      <c r="F152" s="43" t="n"/>
      <c r="G152" s="42" t="n"/>
      <c r="H152" s="42" t="n"/>
      <c r="I152" s="42" t="n"/>
      <c r="J152" s="44" t="n"/>
      <c r="K152" s="43" t="n"/>
      <c r="L152" s="44" t="n"/>
      <c r="M152" s="43" t="n"/>
      <c r="N152" s="42" t="n"/>
      <c r="O152" s="42" t="n"/>
    </row>
    <row r="153">
      <c r="A153" s="45" t="n"/>
      <c r="B153" s="45" t="n"/>
      <c r="C153" s="45" t="n"/>
      <c r="D153" s="45" t="n"/>
      <c r="E153" s="45" t="n"/>
      <c r="F153" s="46" t="n"/>
      <c r="G153" s="45" t="n"/>
      <c r="H153" s="45" t="n"/>
      <c r="I153" s="45" t="n"/>
      <c r="J153" s="47" t="n"/>
      <c r="K153" s="46" t="n"/>
      <c r="L153" s="47" t="n"/>
      <c r="M153" s="46" t="n"/>
      <c r="N153" s="45" t="n"/>
      <c r="O153" s="45" t="n"/>
    </row>
    <row r="154">
      <c r="A154" s="42" t="n"/>
      <c r="B154" s="42" t="n"/>
      <c r="C154" s="42" t="n"/>
      <c r="D154" s="42" t="n"/>
      <c r="E154" s="42" t="n"/>
      <c r="F154" s="43" t="n"/>
      <c r="G154" s="42" t="n"/>
      <c r="H154" s="42" t="n"/>
      <c r="I154" s="42" t="n"/>
      <c r="J154" s="44" t="n"/>
      <c r="K154" s="43" t="n"/>
      <c r="L154" s="44" t="n"/>
      <c r="M154" s="43" t="n"/>
      <c r="N154" s="42" t="n"/>
      <c r="O154" s="42" t="n"/>
    </row>
    <row r="155">
      <c r="A155" s="45" t="n"/>
      <c r="B155" s="45" t="n"/>
      <c r="C155" s="45" t="n"/>
      <c r="D155" s="45" t="n"/>
      <c r="E155" s="45" t="n"/>
      <c r="F155" s="46" t="n"/>
      <c r="G155" s="45" t="n"/>
      <c r="H155" s="45" t="n"/>
      <c r="I155" s="45" t="n"/>
      <c r="J155" s="47" t="n"/>
      <c r="K155" s="46" t="n"/>
      <c r="L155" s="47" t="n"/>
      <c r="M155" s="46" t="n"/>
      <c r="N155" s="45" t="n"/>
      <c r="O155" s="45" t="n"/>
    </row>
    <row r="156">
      <c r="A156" s="42" t="n"/>
      <c r="B156" s="42" t="n"/>
      <c r="C156" s="42" t="n"/>
      <c r="D156" s="42" t="n"/>
      <c r="E156" s="42" t="n"/>
      <c r="F156" s="43" t="n"/>
      <c r="G156" s="42" t="n"/>
      <c r="H156" s="42" t="n"/>
      <c r="I156" s="42" t="n"/>
      <c r="J156" s="44" t="n"/>
      <c r="K156" s="43" t="n"/>
      <c r="L156" s="44" t="n"/>
      <c r="M156" s="43" t="n"/>
      <c r="N156" s="42" t="n"/>
      <c r="O156" s="42" t="n"/>
    </row>
    <row r="157">
      <c r="A157" s="45" t="n"/>
      <c r="B157" s="45" t="n"/>
      <c r="C157" s="45" t="n"/>
      <c r="D157" s="45" t="n"/>
      <c r="E157" s="45" t="n"/>
      <c r="F157" s="46" t="n"/>
      <c r="G157" s="45" t="n"/>
      <c r="H157" s="45" t="n"/>
      <c r="I157" s="45" t="n"/>
      <c r="J157" s="47" t="n"/>
      <c r="K157" s="46" t="n"/>
      <c r="L157" s="47" t="n"/>
      <c r="M157" s="46" t="n"/>
      <c r="N157" s="45" t="n"/>
      <c r="O157" s="45" t="n"/>
    </row>
    <row r="158">
      <c r="A158" s="42" t="n"/>
      <c r="B158" s="42" t="n"/>
      <c r="C158" s="42" t="n"/>
      <c r="D158" s="42" t="n"/>
      <c r="E158" s="42" t="n"/>
      <c r="F158" s="43" t="n"/>
      <c r="G158" s="42" t="n"/>
      <c r="H158" s="42" t="n"/>
      <c r="I158" s="42" t="n"/>
      <c r="J158" s="44" t="n"/>
      <c r="K158" s="43" t="n"/>
      <c r="L158" s="44" t="n"/>
      <c r="M158" s="43" t="n"/>
      <c r="N158" s="42" t="n"/>
      <c r="O158" s="42" t="n"/>
    </row>
    <row r="159">
      <c r="A159" s="45" t="n"/>
      <c r="B159" s="45" t="n"/>
      <c r="C159" s="45" t="n"/>
      <c r="D159" s="45" t="n"/>
      <c r="E159" s="45" t="n"/>
      <c r="F159" s="46" t="n"/>
      <c r="G159" s="45" t="n"/>
      <c r="H159" s="45" t="n"/>
      <c r="I159" s="45" t="n"/>
      <c r="J159" s="47" t="n"/>
      <c r="K159" s="46" t="n"/>
      <c r="L159" s="47" t="n"/>
      <c r="M159" s="46" t="n"/>
      <c r="N159" s="45" t="n"/>
      <c r="O159" s="45" t="n"/>
    </row>
    <row r="160">
      <c r="A160" s="42" t="n"/>
      <c r="B160" s="42" t="n"/>
      <c r="C160" s="42" t="n"/>
      <c r="D160" s="42" t="n"/>
      <c r="E160" s="42" t="n"/>
      <c r="F160" s="43" t="n"/>
      <c r="G160" s="42" t="n"/>
      <c r="H160" s="42" t="n"/>
      <c r="I160" s="42" t="n"/>
      <c r="J160" s="44" t="n"/>
      <c r="K160" s="43" t="n"/>
      <c r="L160" s="44" t="n"/>
      <c r="M160" s="43" t="n"/>
      <c r="N160" s="42" t="n"/>
      <c r="O160" s="42" t="n"/>
    </row>
    <row r="161">
      <c r="A161" s="45" t="n"/>
      <c r="B161" s="45" t="n"/>
      <c r="C161" s="45" t="n"/>
      <c r="D161" s="45" t="n"/>
      <c r="E161" s="45" t="n"/>
      <c r="F161" s="46" t="n"/>
      <c r="G161" s="45" t="n"/>
      <c r="H161" s="45" t="n"/>
      <c r="I161" s="45" t="n"/>
      <c r="J161" s="47" t="n"/>
      <c r="K161" s="46" t="n"/>
      <c r="L161" s="47" t="n"/>
      <c r="M161" s="46" t="n"/>
      <c r="N161" s="45" t="n"/>
      <c r="O161" s="45" t="n"/>
    </row>
    <row r="162">
      <c r="A162" s="42" t="n"/>
      <c r="B162" s="42" t="n"/>
      <c r="C162" s="42" t="n"/>
      <c r="D162" s="42" t="n"/>
      <c r="E162" s="42" t="n"/>
      <c r="F162" s="43" t="n"/>
      <c r="G162" s="42" t="n"/>
      <c r="H162" s="42" t="n"/>
      <c r="I162" s="42" t="n"/>
      <c r="J162" s="44" t="n"/>
      <c r="K162" s="43" t="n"/>
      <c r="L162" s="44" t="n"/>
      <c r="M162" s="43" t="n"/>
      <c r="N162" s="42" t="n"/>
      <c r="O162" s="42" t="n"/>
    </row>
    <row r="163">
      <c r="A163" s="45" t="n"/>
      <c r="B163" s="45" t="n"/>
      <c r="C163" s="45" t="n"/>
      <c r="D163" s="45" t="n"/>
      <c r="E163" s="45" t="n"/>
      <c r="F163" s="46" t="n"/>
      <c r="G163" s="45" t="n"/>
      <c r="H163" s="45" t="n"/>
      <c r="I163" s="45" t="n"/>
      <c r="J163" s="47" t="n"/>
      <c r="K163" s="46" t="n"/>
      <c r="L163" s="47" t="n"/>
      <c r="M163" s="46" t="n"/>
      <c r="N163" s="45" t="n"/>
      <c r="O163" s="45" t="n"/>
    </row>
    <row r="164">
      <c r="A164" s="42" t="n"/>
      <c r="B164" s="42" t="n"/>
      <c r="C164" s="42" t="n"/>
      <c r="D164" s="42" t="n"/>
      <c r="E164" s="42" t="n"/>
      <c r="F164" s="43" t="n"/>
      <c r="G164" s="42" t="n"/>
      <c r="H164" s="42" t="n"/>
      <c r="I164" s="42" t="n"/>
      <c r="J164" s="44" t="n"/>
      <c r="K164" s="43" t="n"/>
      <c r="L164" s="44" t="n"/>
      <c r="M164" s="43" t="n"/>
      <c r="N164" s="42" t="n"/>
      <c r="O164" s="42" t="n"/>
    </row>
    <row r="165">
      <c r="A165" s="45" t="n"/>
      <c r="B165" s="45" t="n"/>
      <c r="C165" s="45" t="n"/>
      <c r="D165" s="45" t="n"/>
      <c r="E165" s="45" t="n"/>
      <c r="F165" s="46" t="n"/>
      <c r="G165" s="45" t="n"/>
      <c r="H165" s="45" t="n"/>
      <c r="I165" s="45" t="n"/>
      <c r="J165" s="47" t="n"/>
      <c r="K165" s="46" t="n"/>
      <c r="L165" s="47" t="n"/>
      <c r="M165" s="46" t="n"/>
      <c r="N165" s="45" t="n"/>
      <c r="O165" s="45" t="n"/>
    </row>
    <row r="166">
      <c r="A166" s="42" t="n"/>
      <c r="B166" s="42" t="n"/>
      <c r="C166" s="42" t="n"/>
      <c r="D166" s="42" t="n"/>
      <c r="E166" s="42" t="n"/>
      <c r="F166" s="43" t="n"/>
      <c r="G166" s="42" t="n"/>
      <c r="H166" s="42" t="n"/>
      <c r="I166" s="42" t="n"/>
      <c r="J166" s="44" t="n"/>
      <c r="K166" s="43" t="n"/>
      <c r="L166" s="44" t="n"/>
      <c r="M166" s="43" t="n"/>
      <c r="N166" s="42" t="n"/>
      <c r="O166" s="42" t="n"/>
    </row>
    <row r="167">
      <c r="A167" s="45" t="n"/>
      <c r="B167" s="45" t="n"/>
      <c r="C167" s="45" t="n"/>
      <c r="D167" s="45" t="n"/>
      <c r="E167" s="45" t="n"/>
      <c r="F167" s="46" t="n"/>
      <c r="G167" s="45" t="n"/>
      <c r="H167" s="45" t="n"/>
      <c r="I167" s="45" t="n"/>
      <c r="J167" s="47" t="n"/>
      <c r="K167" s="46" t="n"/>
      <c r="L167" s="47" t="n"/>
      <c r="M167" s="46" t="n"/>
      <c r="N167" s="45" t="n"/>
      <c r="O167" s="45" t="n"/>
    </row>
    <row r="168">
      <c r="A168" s="42" t="n"/>
      <c r="B168" s="42" t="n"/>
      <c r="C168" s="42" t="n"/>
      <c r="D168" s="42" t="n"/>
      <c r="E168" s="42" t="n"/>
      <c r="F168" s="43" t="n"/>
      <c r="G168" s="42" t="n"/>
      <c r="H168" s="42" t="n"/>
      <c r="I168" s="42" t="n"/>
      <c r="J168" s="44" t="n"/>
      <c r="K168" s="43" t="n"/>
      <c r="L168" s="44" t="n"/>
      <c r="M168" s="43" t="n"/>
      <c r="N168" s="42" t="n"/>
      <c r="O168" s="42" t="n"/>
    </row>
    <row r="169">
      <c r="A169" s="45" t="n"/>
      <c r="B169" s="45" t="n"/>
      <c r="C169" s="45" t="n"/>
      <c r="D169" s="45" t="n"/>
      <c r="E169" s="45" t="n"/>
      <c r="F169" s="46" t="n"/>
      <c r="G169" s="45" t="n"/>
      <c r="H169" s="45" t="n"/>
      <c r="I169" s="45" t="n"/>
      <c r="J169" s="47" t="n"/>
      <c r="K169" s="46" t="n"/>
      <c r="L169" s="47" t="n"/>
      <c r="M169" s="46" t="n"/>
      <c r="N169" s="45" t="n"/>
      <c r="O169" s="45" t="n"/>
    </row>
    <row r="170">
      <c r="A170" s="42" t="n"/>
      <c r="B170" s="42" t="n"/>
      <c r="C170" s="42" t="n"/>
      <c r="D170" s="42" t="n"/>
      <c r="E170" s="42" t="n"/>
      <c r="F170" s="43" t="n"/>
      <c r="G170" s="42" t="n"/>
      <c r="H170" s="42" t="n"/>
      <c r="I170" s="42" t="n"/>
      <c r="J170" s="44" t="n"/>
      <c r="K170" s="43" t="n"/>
      <c r="L170" s="44" t="n"/>
      <c r="M170" s="43" t="n"/>
      <c r="N170" s="42" t="n"/>
      <c r="O170" s="42" t="n"/>
    </row>
    <row r="171">
      <c r="A171" s="45" t="n"/>
      <c r="B171" s="45" t="n"/>
      <c r="C171" s="45" t="n"/>
      <c r="D171" s="45" t="n"/>
      <c r="E171" s="45" t="n"/>
      <c r="F171" s="46" t="n"/>
      <c r="G171" s="45" t="n"/>
      <c r="H171" s="45" t="n"/>
      <c r="I171" s="45" t="n"/>
      <c r="J171" s="47" t="n"/>
      <c r="K171" s="46" t="n"/>
      <c r="L171" s="47" t="n"/>
      <c r="M171" s="46" t="n"/>
      <c r="N171" s="45" t="n"/>
      <c r="O171" s="45" t="n"/>
    </row>
    <row r="172">
      <c r="A172" s="42" t="n"/>
      <c r="B172" s="42" t="n"/>
      <c r="C172" s="42" t="n"/>
      <c r="D172" s="42" t="n"/>
      <c r="E172" s="42" t="n"/>
      <c r="F172" s="43" t="n"/>
      <c r="G172" s="42" t="n"/>
      <c r="H172" s="42" t="n"/>
      <c r="I172" s="42" t="n"/>
      <c r="J172" s="44" t="n"/>
      <c r="K172" s="43" t="n"/>
      <c r="L172" s="44" t="n"/>
      <c r="M172" s="43" t="n"/>
      <c r="N172" s="42" t="n"/>
      <c r="O172" s="42" t="n"/>
    </row>
    <row r="173">
      <c r="A173" s="45" t="n"/>
      <c r="B173" s="45" t="n"/>
      <c r="C173" s="45" t="n"/>
      <c r="D173" s="45" t="n"/>
      <c r="E173" s="45" t="n"/>
      <c r="F173" s="46" t="n"/>
      <c r="G173" s="45" t="n"/>
      <c r="H173" s="45" t="n"/>
      <c r="I173" s="45" t="n"/>
      <c r="J173" s="47" t="n"/>
      <c r="K173" s="46" t="n"/>
      <c r="L173" s="47" t="n"/>
      <c r="M173" s="46" t="n"/>
      <c r="N173" s="45" t="n"/>
      <c r="O173" s="45" t="n"/>
    </row>
    <row r="174">
      <c r="A174" s="42" t="n"/>
      <c r="B174" s="42" t="n"/>
      <c r="C174" s="42" t="n"/>
      <c r="D174" s="42" t="n"/>
      <c r="E174" s="42" t="n"/>
      <c r="F174" s="43" t="n"/>
      <c r="G174" s="42" t="n"/>
      <c r="H174" s="42" t="n"/>
      <c r="I174" s="42" t="n"/>
      <c r="J174" s="44" t="n"/>
      <c r="K174" s="43" t="n"/>
      <c r="L174" s="44" t="n"/>
      <c r="M174" s="43" t="n"/>
      <c r="N174" s="42" t="n"/>
      <c r="O174" s="42" t="n"/>
    </row>
    <row r="175">
      <c r="A175" s="45" t="n"/>
      <c r="B175" s="45" t="n"/>
      <c r="C175" s="45" t="n"/>
      <c r="D175" s="45" t="n"/>
      <c r="E175" s="45" t="n"/>
      <c r="F175" s="46" t="n"/>
      <c r="G175" s="45" t="n"/>
      <c r="H175" s="45" t="n"/>
      <c r="I175" s="45" t="n"/>
      <c r="J175" s="47" t="n"/>
      <c r="K175" s="46" t="n"/>
      <c r="L175" s="47" t="n"/>
      <c r="M175" s="46" t="n"/>
      <c r="N175" s="45" t="n"/>
      <c r="O175" s="45" t="n"/>
    </row>
    <row r="176">
      <c r="A176" s="42" t="n"/>
      <c r="B176" s="42" t="n"/>
      <c r="C176" s="42" t="n"/>
      <c r="D176" s="42" t="n"/>
      <c r="E176" s="42" t="n"/>
      <c r="F176" s="43" t="n"/>
      <c r="G176" s="42" t="n"/>
      <c r="H176" s="42" t="n"/>
      <c r="I176" s="42" t="n"/>
      <c r="J176" s="44" t="n"/>
      <c r="K176" s="43" t="n"/>
      <c r="L176" s="44" t="n"/>
      <c r="M176" s="43" t="n"/>
      <c r="N176" s="42" t="n"/>
      <c r="O176" s="42" t="n"/>
    </row>
    <row r="177">
      <c r="A177" s="45" t="n"/>
      <c r="B177" s="45" t="n"/>
      <c r="C177" s="45" t="n"/>
      <c r="D177" s="45" t="n"/>
      <c r="E177" s="45" t="n"/>
      <c r="F177" s="46" t="n"/>
      <c r="G177" s="45" t="n"/>
      <c r="H177" s="45" t="n"/>
      <c r="I177" s="45" t="n"/>
      <c r="J177" s="47" t="n"/>
      <c r="K177" s="46" t="n"/>
      <c r="L177" s="47" t="n"/>
      <c r="M177" s="46" t="n"/>
      <c r="N177" s="45" t="n"/>
      <c r="O177" s="45" t="n"/>
    </row>
    <row r="178">
      <c r="A178" s="42" t="n"/>
      <c r="B178" s="42" t="n"/>
      <c r="C178" s="42" t="n"/>
      <c r="D178" s="42" t="n"/>
      <c r="E178" s="42" t="n"/>
      <c r="F178" s="43" t="n"/>
      <c r="G178" s="42" t="n"/>
      <c r="H178" s="42" t="n"/>
      <c r="I178" s="42" t="n"/>
      <c r="J178" s="44" t="n"/>
      <c r="K178" s="43" t="n"/>
      <c r="L178" s="44" t="n"/>
      <c r="M178" s="43" t="n"/>
      <c r="N178" s="42" t="n"/>
      <c r="O178" s="42" t="n"/>
    </row>
    <row r="179">
      <c r="A179" s="45" t="n"/>
      <c r="B179" s="45" t="n"/>
      <c r="C179" s="45" t="n"/>
      <c r="D179" s="45" t="n"/>
      <c r="E179" s="45" t="n"/>
      <c r="F179" s="46" t="n"/>
      <c r="G179" s="45" t="n"/>
      <c r="H179" s="45" t="n"/>
      <c r="I179" s="45" t="n"/>
      <c r="J179" s="47" t="n"/>
      <c r="K179" s="46" t="n"/>
      <c r="L179" s="47" t="n"/>
      <c r="M179" s="46" t="n"/>
      <c r="N179" s="45" t="n"/>
      <c r="O179" s="45" t="n"/>
    </row>
    <row r="180">
      <c r="A180" s="42" t="n"/>
      <c r="B180" s="42" t="n"/>
      <c r="C180" s="42" t="n"/>
      <c r="D180" s="42" t="n"/>
      <c r="E180" s="42" t="n"/>
      <c r="F180" s="43" t="n"/>
      <c r="G180" s="42" t="n"/>
      <c r="H180" s="42" t="n"/>
      <c r="I180" s="42" t="n"/>
      <c r="J180" s="44" t="n"/>
      <c r="K180" s="43" t="n"/>
      <c r="L180" s="44" t="n"/>
      <c r="M180" s="43" t="n"/>
      <c r="N180" s="42" t="n"/>
      <c r="O180" s="42" t="n"/>
    </row>
    <row r="181">
      <c r="A181" s="45" t="n"/>
      <c r="B181" s="45" t="n"/>
      <c r="C181" s="45" t="n"/>
      <c r="D181" s="45" t="n"/>
      <c r="E181" s="45" t="n"/>
      <c r="F181" s="46" t="n"/>
      <c r="G181" s="45" t="n"/>
      <c r="H181" s="45" t="n"/>
      <c r="I181" s="45" t="n"/>
      <c r="J181" s="47" t="n"/>
      <c r="K181" s="46" t="n"/>
      <c r="L181" s="47" t="n"/>
      <c r="M181" s="46" t="n"/>
      <c r="N181" s="45" t="n"/>
      <c r="O181" s="45" t="n"/>
    </row>
    <row r="182">
      <c r="A182" s="42" t="n"/>
      <c r="B182" s="42" t="n"/>
      <c r="C182" s="42" t="n"/>
      <c r="D182" s="42" t="n"/>
      <c r="E182" s="42" t="n"/>
      <c r="F182" s="43" t="n"/>
      <c r="G182" s="42" t="n"/>
      <c r="H182" s="42" t="n"/>
      <c r="I182" s="42" t="n"/>
      <c r="J182" s="44" t="n"/>
      <c r="K182" s="43" t="n"/>
      <c r="L182" s="44" t="n"/>
      <c r="M182" s="43" t="n"/>
      <c r="N182" s="42" t="n"/>
      <c r="O182" s="42" t="n"/>
    </row>
    <row r="183">
      <c r="A183" s="45" t="n"/>
      <c r="B183" s="45" t="n"/>
      <c r="C183" s="45" t="n"/>
      <c r="D183" s="45" t="n"/>
      <c r="E183" s="45" t="n"/>
      <c r="F183" s="46" t="n"/>
      <c r="G183" s="45" t="n"/>
      <c r="H183" s="45" t="n"/>
      <c r="I183" s="45" t="n"/>
      <c r="J183" s="47" t="n"/>
      <c r="K183" s="46" t="n"/>
      <c r="L183" s="47" t="n"/>
      <c r="M183" s="46" t="n"/>
      <c r="N183" s="45" t="n"/>
      <c r="O183" s="45" t="n"/>
    </row>
    <row r="184">
      <c r="A184" s="42" t="n"/>
      <c r="B184" s="42" t="n"/>
      <c r="C184" s="42" t="n"/>
      <c r="D184" s="42" t="n"/>
      <c r="E184" s="42" t="n"/>
      <c r="F184" s="43" t="n"/>
      <c r="G184" s="42" t="n"/>
      <c r="H184" s="42" t="n"/>
      <c r="I184" s="42" t="n"/>
      <c r="J184" s="44" t="n"/>
      <c r="K184" s="43" t="n"/>
      <c r="L184" s="44" t="n"/>
      <c r="M184" s="43" t="n"/>
      <c r="N184" s="42" t="n"/>
      <c r="O184" s="42" t="n"/>
    </row>
    <row r="185">
      <c r="A185" s="45" t="n"/>
      <c r="B185" s="45" t="n"/>
      <c r="C185" s="45" t="n"/>
      <c r="D185" s="45" t="n"/>
      <c r="E185" s="45" t="n"/>
      <c r="F185" s="46" t="n"/>
      <c r="G185" s="45" t="n"/>
      <c r="H185" s="45" t="n"/>
      <c r="I185" s="45" t="n"/>
      <c r="J185" s="47" t="n"/>
      <c r="K185" s="46" t="n"/>
      <c r="L185" s="47" t="n"/>
      <c r="M185" s="46" t="n"/>
      <c r="N185" s="45" t="n"/>
      <c r="O185" s="45" t="n"/>
    </row>
    <row r="186">
      <c r="A186" s="42" t="n"/>
      <c r="B186" s="42" t="n"/>
      <c r="C186" s="42" t="n"/>
      <c r="D186" s="42" t="n"/>
      <c r="E186" s="42" t="n"/>
      <c r="F186" s="43" t="n"/>
      <c r="G186" s="42" t="n"/>
      <c r="H186" s="42" t="n"/>
      <c r="I186" s="42" t="n"/>
      <c r="J186" s="44" t="n"/>
      <c r="K186" s="43" t="n"/>
      <c r="L186" s="44" t="n"/>
      <c r="M186" s="43" t="n"/>
      <c r="N186" s="42" t="n"/>
      <c r="O186" s="42" t="n"/>
    </row>
    <row r="187">
      <c r="A187" s="45" t="n"/>
      <c r="B187" s="45" t="n"/>
      <c r="C187" s="45" t="n"/>
      <c r="D187" s="45" t="n"/>
      <c r="E187" s="45" t="n"/>
      <c r="F187" s="46" t="n"/>
      <c r="G187" s="45" t="n"/>
      <c r="H187" s="45" t="n"/>
      <c r="I187" s="45" t="n"/>
      <c r="J187" s="47" t="n"/>
      <c r="K187" s="46" t="n"/>
      <c r="L187" s="47" t="n"/>
      <c r="M187" s="46" t="n"/>
      <c r="N187" s="45" t="n"/>
      <c r="O187" s="45" t="n"/>
    </row>
    <row r="188">
      <c r="A188" s="42" t="n"/>
      <c r="B188" s="42" t="n"/>
      <c r="C188" s="42" t="n"/>
      <c r="D188" s="42" t="n"/>
      <c r="E188" s="42" t="n"/>
      <c r="F188" s="43" t="n"/>
      <c r="G188" s="42" t="n"/>
      <c r="H188" s="42" t="n"/>
      <c r="I188" s="42" t="n"/>
      <c r="J188" s="44" t="n"/>
      <c r="K188" s="43" t="n"/>
      <c r="L188" s="44" t="n"/>
      <c r="M188" s="43" t="n"/>
      <c r="N188" s="42" t="n"/>
      <c r="O188" s="42" t="n"/>
    </row>
    <row r="189">
      <c r="A189" s="45" t="n"/>
      <c r="B189" s="45" t="n"/>
      <c r="C189" s="45" t="n"/>
      <c r="D189" s="45" t="n"/>
      <c r="E189" s="45" t="n"/>
      <c r="F189" s="46" t="n"/>
      <c r="G189" s="45" t="n"/>
      <c r="H189" s="45" t="n"/>
      <c r="I189" s="45" t="n"/>
      <c r="J189" s="47" t="n"/>
      <c r="K189" s="46" t="n"/>
      <c r="L189" s="47" t="n"/>
      <c r="M189" s="46" t="n"/>
      <c r="N189" s="45" t="n"/>
      <c r="O189" s="45" t="n"/>
    </row>
    <row r="190">
      <c r="A190" s="42" t="n"/>
      <c r="B190" s="42" t="n"/>
      <c r="C190" s="42" t="n"/>
      <c r="D190" s="42" t="n"/>
      <c r="E190" s="42" t="n"/>
      <c r="F190" s="43" t="n"/>
      <c r="G190" s="42" t="n"/>
      <c r="H190" s="42" t="n"/>
      <c r="I190" s="42" t="n"/>
      <c r="J190" s="44" t="n"/>
      <c r="K190" s="43" t="n"/>
      <c r="L190" s="44" t="n"/>
      <c r="M190" s="43" t="n"/>
      <c r="N190" s="42" t="n"/>
      <c r="O190" s="42" t="n"/>
    </row>
    <row r="191">
      <c r="A191" s="45" t="n"/>
      <c r="B191" s="45" t="n"/>
      <c r="C191" s="45" t="n"/>
      <c r="D191" s="45" t="n"/>
      <c r="E191" s="45" t="n"/>
      <c r="F191" s="46" t="n"/>
      <c r="G191" s="45" t="n"/>
      <c r="H191" s="45" t="n"/>
      <c r="I191" s="45" t="n"/>
      <c r="J191" s="47" t="n"/>
      <c r="K191" s="46" t="n"/>
      <c r="L191" s="47" t="n"/>
      <c r="M191" s="46" t="n"/>
      <c r="N191" s="45" t="n"/>
      <c r="O191" s="45" t="n"/>
    </row>
    <row r="192">
      <c r="A192" s="42" t="n"/>
      <c r="B192" s="42" t="n"/>
      <c r="C192" s="42" t="n"/>
      <c r="D192" s="42" t="n"/>
      <c r="E192" s="42" t="n"/>
      <c r="F192" s="43" t="n"/>
      <c r="G192" s="42" t="n"/>
      <c r="H192" s="42" t="n"/>
      <c r="I192" s="42" t="n"/>
      <c r="J192" s="44" t="n"/>
      <c r="K192" s="43" t="n"/>
      <c r="L192" s="44" t="n"/>
      <c r="M192" s="43" t="n"/>
      <c r="N192" s="42" t="n"/>
      <c r="O192" s="42" t="n"/>
    </row>
    <row r="193">
      <c r="A193" s="45" t="n"/>
      <c r="B193" s="45" t="n"/>
      <c r="C193" s="45" t="n"/>
      <c r="D193" s="45" t="n"/>
      <c r="E193" s="45" t="n"/>
      <c r="F193" s="46" t="n"/>
      <c r="G193" s="45" t="n"/>
      <c r="H193" s="45" t="n"/>
      <c r="I193" s="45" t="n"/>
      <c r="J193" s="47" t="n"/>
      <c r="K193" s="46" t="n"/>
      <c r="L193" s="47" t="n"/>
      <c r="M193" s="46" t="n"/>
      <c r="N193" s="45" t="n"/>
      <c r="O193" s="45" t="n"/>
    </row>
    <row r="194">
      <c r="A194" s="42" t="n"/>
      <c r="B194" s="42" t="n"/>
      <c r="C194" s="42" t="n"/>
      <c r="D194" s="42" t="n"/>
      <c r="E194" s="42" t="n"/>
      <c r="F194" s="43" t="n"/>
      <c r="G194" s="42" t="n"/>
      <c r="H194" s="42" t="n"/>
      <c r="I194" s="42" t="n"/>
      <c r="J194" s="44" t="n"/>
      <c r="K194" s="43" t="n"/>
      <c r="L194" s="44" t="n"/>
      <c r="M194" s="43" t="n"/>
      <c r="N194" s="42" t="n"/>
      <c r="O194" s="42" t="n"/>
    </row>
    <row r="195">
      <c r="A195" s="45" t="n"/>
      <c r="B195" s="45" t="n"/>
      <c r="C195" s="45" t="n"/>
      <c r="D195" s="45" t="n"/>
      <c r="E195" s="45" t="n"/>
      <c r="F195" s="46" t="n"/>
      <c r="G195" s="45" t="n"/>
      <c r="H195" s="45" t="n"/>
      <c r="I195" s="45" t="n"/>
      <c r="J195" s="47" t="n"/>
      <c r="K195" s="46" t="n"/>
      <c r="L195" s="47" t="n"/>
      <c r="M195" s="46" t="n"/>
      <c r="N195" s="45" t="n"/>
      <c r="O195" s="45" t="n"/>
    </row>
    <row r="196">
      <c r="A196" s="42" t="n"/>
      <c r="B196" s="42" t="n"/>
      <c r="C196" s="42" t="n"/>
      <c r="D196" s="42" t="n"/>
      <c r="E196" s="42" t="n"/>
      <c r="F196" s="43" t="n"/>
      <c r="G196" s="42" t="n"/>
      <c r="H196" s="42" t="n"/>
      <c r="I196" s="42" t="n"/>
      <c r="J196" s="44" t="n"/>
      <c r="K196" s="43" t="n"/>
      <c r="L196" s="44" t="n"/>
      <c r="M196" s="43" t="n"/>
      <c r="N196" s="42" t="n"/>
      <c r="O196" s="42" t="n"/>
    </row>
    <row r="197">
      <c r="A197" s="45" t="n"/>
      <c r="B197" s="45" t="n"/>
      <c r="C197" s="45" t="n"/>
      <c r="D197" s="45" t="n"/>
      <c r="E197" s="45" t="n"/>
      <c r="F197" s="46" t="n"/>
      <c r="G197" s="45" t="n"/>
      <c r="H197" s="45" t="n"/>
      <c r="I197" s="45" t="n"/>
      <c r="J197" s="47" t="n"/>
      <c r="K197" s="46" t="n"/>
      <c r="L197" s="47" t="n"/>
      <c r="M197" s="46" t="n"/>
      <c r="N197" s="45" t="n"/>
      <c r="O197" s="45" t="n"/>
    </row>
    <row r="198">
      <c r="A198" s="42" t="n"/>
      <c r="B198" s="42" t="n"/>
      <c r="C198" s="42" t="n"/>
      <c r="D198" s="42" t="n"/>
      <c r="E198" s="42" t="n"/>
      <c r="F198" s="43" t="n"/>
      <c r="G198" s="42" t="n"/>
      <c r="H198" s="42" t="n"/>
      <c r="I198" s="42" t="n"/>
      <c r="J198" s="44" t="n"/>
      <c r="K198" s="43" t="n"/>
      <c r="L198" s="44" t="n"/>
      <c r="M198" s="43" t="n"/>
      <c r="N198" s="42" t="n"/>
      <c r="O198" s="42" t="n"/>
    </row>
    <row r="199">
      <c r="A199" s="45" t="n"/>
      <c r="B199" s="45" t="n"/>
      <c r="C199" s="45" t="n"/>
      <c r="D199" s="45" t="n"/>
      <c r="E199" s="45" t="n"/>
      <c r="F199" s="46" t="n"/>
      <c r="G199" s="45" t="n"/>
      <c r="H199" s="45" t="n"/>
      <c r="I199" s="45" t="n"/>
      <c r="J199" s="47" t="n"/>
      <c r="K199" s="46" t="n"/>
      <c r="L199" s="47" t="n"/>
      <c r="M199" s="46" t="n"/>
      <c r="N199" s="45" t="n"/>
      <c r="O199" s="45" t="n"/>
    </row>
    <row r="200">
      <c r="A200" s="42" t="n"/>
      <c r="B200" s="42" t="n"/>
      <c r="C200" s="42" t="n"/>
      <c r="D200" s="42" t="n"/>
      <c r="E200" s="42" t="n"/>
      <c r="F200" s="43" t="n"/>
      <c r="G200" s="42" t="n"/>
      <c r="H200" s="42" t="n"/>
      <c r="I200" s="42" t="n"/>
      <c r="J200" s="44" t="n"/>
      <c r="K200" s="43" t="n"/>
      <c r="L200" s="44" t="n"/>
      <c r="M200" s="43" t="n"/>
      <c r="N200" s="42" t="n"/>
      <c r="O200" s="42" t="n"/>
    </row>
  </sheetData>
  <autoFilter ref="A3:O200"/>
  <mergeCells count="2">
    <mergeCell ref="A1:O1"/>
    <mergeCell ref="A2:O2"/>
  </mergeCells>
  <conditionalFormatting sqref="M4:M200">
    <cfRule type="cellIs" priority="1" operator="lessThan" dxfId="3">
      <formula>TODAY()</formula>
    </cfRule>
    <cfRule type="cellIs" priority="2" operator="between" dxfId="4">
      <formula>TODAY()</formula>
      <formula>TODAY()+30</formula>
    </cfRule>
  </conditionalFormatting>
  <dataValidations count="3">
    <dataValidation sqref="B4:B200" showDropDown="0" showInputMessage="0" showErrorMessage="0" allowBlank="1" type="list">
      <formula1>=L_Typ</formula1>
    </dataValidation>
    <dataValidation sqref="G4:G200" showDropDown="0" showInputMessage="0" showErrorMessage="0" allowBlank="1" type="list">
      <formula1>=L_Kraft</formula1>
    </dataValidation>
    <dataValidation sqref="N4:N200" showDropDown="0" showInputMessage="0" showErrorMessage="0" allowBlank="1" type="list">
      <formula1>=L_Status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N30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14" customWidth="1" min="4" max="4"/>
    <col width="14" customWidth="1" min="5" max="5"/>
    <col width="13" customWidth="1" min="6" max="6"/>
    <col width="13" customWidth="1" min="7" max="7"/>
    <col width="13" customWidth="1" min="8" max="8"/>
    <col width="17" customWidth="1" min="9" max="9"/>
    <col width="11" customWidth="1" min="10" max="10"/>
    <col width="15" customWidth="1" min="11" max="11"/>
    <col width="11" customWidth="1" min="12" max="12"/>
    <col width="15" customWidth="1" min="13" max="13"/>
    <col width="16" customWidth="1" min="14" max="14"/>
  </cols>
  <sheetData>
    <row r="1" ht="36" customHeight="1">
      <c r="A1" s="36" t="inlineStr">
        <is>
          <t>WARTUNGSPLAN &amp; ERINNERUNGEN</t>
        </is>
      </c>
    </row>
    <row r="2" ht="18" customHeight="1">
      <c r="A2" s="2" t="inlineStr">
        <is>
          <t>Ampel berechnet sich automatisch aus Datum und km-Stand (Blatt „Fahrzeuge“).</t>
        </is>
      </c>
    </row>
    <row r="3" ht="26" customHeight="1">
      <c r="A3" s="37" t="inlineStr">
        <is>
          <t>Kennzeichen</t>
        </is>
      </c>
      <c r="B3" s="37" t="inlineStr">
        <is>
          <t>Fahrzeugtyp</t>
        </is>
      </c>
      <c r="C3" s="37" t="inlineStr">
        <is>
          <t>Wartungsart</t>
        </is>
      </c>
      <c r="D3" s="37" t="inlineStr">
        <is>
          <t>Letzte Wartung</t>
        </is>
      </c>
      <c r="E3" s="37" t="inlineStr">
        <is>
          <t>km bei Wartung</t>
        </is>
      </c>
      <c r="F3" s="37" t="inlineStr">
        <is>
          <t>Intervall (Mon.)</t>
        </is>
      </c>
      <c r="G3" s="37" t="inlineStr">
        <is>
          <t>Intervall (km)</t>
        </is>
      </c>
      <c r="H3" s="37" t="inlineStr">
        <is>
          <t>akt. km-Stand</t>
        </is>
      </c>
      <c r="I3" s="37" t="inlineStr">
        <is>
          <t>Nächste Wartung (Datum)</t>
        </is>
      </c>
      <c r="J3" s="37" t="inlineStr">
        <is>
          <t>Rest-Tage</t>
        </is>
      </c>
      <c r="K3" s="37" t="inlineStr">
        <is>
          <t>Nächste km-Grenze</t>
        </is>
      </c>
      <c r="L3" s="37" t="inlineStr">
        <is>
          <t>Rest-km</t>
        </is>
      </c>
      <c r="M3" s="37" t="inlineStr">
        <is>
          <t>STATUS</t>
        </is>
      </c>
      <c r="N3" s="37" t="inlineStr">
        <is>
          <t>Verantwortlich</t>
        </is>
      </c>
    </row>
    <row r="4">
      <c r="A4" s="34" t="inlineStr">
        <is>
          <t>B-AH 1001</t>
        </is>
      </c>
      <c r="B4" s="34" t="inlineStr">
        <is>
          <t>PKW</t>
        </is>
      </c>
      <c r="C4" s="34" t="inlineStr">
        <is>
          <t>Inspektion</t>
        </is>
      </c>
      <c r="D4" s="35" t="n">
        <v>45920</v>
      </c>
      <c r="E4" s="39" t="n">
        <v>52000</v>
      </c>
      <c r="F4" s="34" t="n">
        <v>12</v>
      </c>
      <c r="G4" s="34" t="n">
        <v>30000</v>
      </c>
      <c r="H4" s="48">
        <f>IFERROR(VLOOKUP(A4,F_Tabelle,10,FALSE),"")</f>
        <v/>
      </c>
      <c r="I4" s="49">
        <f>IF(OR(D4="",F4=""),"",IF(F4=0,"",EDATE(D4,F4)))</f>
        <v/>
      </c>
      <c r="J4" s="50">
        <f>IF(I4="","",I4-TODAY())</f>
        <v/>
      </c>
      <c r="K4" s="48">
        <f>IF(OR(E4="",G4=""),"",IF(G4=0,"",E4+G4))</f>
        <v/>
      </c>
      <c r="L4" s="48">
        <f>IF(OR(K4="",H4=""),"",K4-H4)</f>
        <v/>
      </c>
      <c r="M4" s="50">
        <f>IF(AND(J4="",L4=""),"",IF(OR(AND(J4&lt;&gt;"",J4&lt;0),AND(L4&lt;&gt;"",L4&lt;0)),"🔴 Überfällig",IF(OR(AND(J4&lt;&gt;"",J4&lt;=30),AND(L4&lt;&gt;"",L4&lt;=1000)),"🟡 Bald fällig","🟢 OK")))</f>
        <v/>
      </c>
      <c r="N4" s="38" t="inlineStr">
        <is>
          <t>Werkstatt Müller</t>
        </is>
      </c>
    </row>
    <row r="5">
      <c r="A5" s="32" t="inlineStr">
        <is>
          <t>B-AH 1001</t>
        </is>
      </c>
      <c r="B5" s="32" t="inlineStr">
        <is>
          <t>PKW</t>
        </is>
      </c>
      <c r="C5" s="32" t="inlineStr">
        <is>
          <t>HU/AU (TÜV)</t>
        </is>
      </c>
      <c r="D5" s="33" t="n">
        <v>45555</v>
      </c>
      <c r="E5" s="41" t="n">
        <v>48000</v>
      </c>
      <c r="F5" s="32" t="n">
        <v>24</v>
      </c>
      <c r="G5" s="32" t="n">
        <v>0</v>
      </c>
      <c r="H5" s="48">
        <f>IFERROR(VLOOKUP(A5,F_Tabelle,10,FALSE),"")</f>
        <v/>
      </c>
      <c r="I5" s="49">
        <f>IF(OR(D5="",F5=""),"",IF(F5=0,"",EDATE(D5,F5)))</f>
        <v/>
      </c>
      <c r="J5" s="50">
        <f>IF(I5="","",I5-TODAY())</f>
        <v/>
      </c>
      <c r="K5" s="48">
        <f>IF(OR(E5="",G5=""),"",IF(G5=0,"",E5+G5))</f>
        <v/>
      </c>
      <c r="L5" s="48">
        <f>IF(OR(K5="",H5=""),"",K5-H5)</f>
        <v/>
      </c>
      <c r="M5" s="50">
        <f>IF(AND(J5="",L5=""),"",IF(OR(AND(J5&lt;&gt;"",J5&lt;0),AND(L5&lt;&gt;"",L5&lt;0)),"🔴 Überfällig",IF(OR(AND(J5&lt;&gt;"",J5&lt;=30),AND(L5&lt;&gt;"",L5&lt;=1000)),"🟡 Bald fällig","🟢 OK")))</f>
        <v/>
      </c>
      <c r="N5" s="40" t="inlineStr">
        <is>
          <t>GTÜ</t>
        </is>
      </c>
    </row>
    <row r="6">
      <c r="A6" s="34" t="inlineStr">
        <is>
          <t>B-AH 1002</t>
        </is>
      </c>
      <c r="B6" s="34" t="inlineStr">
        <is>
          <t>PKW</t>
        </is>
      </c>
      <c r="C6" s="34" t="inlineStr">
        <is>
          <t>Ölwechsel</t>
        </is>
      </c>
      <c r="D6" s="35" t="n">
        <v>45992</v>
      </c>
      <c r="E6" s="39" t="n">
        <v>48000</v>
      </c>
      <c r="F6" s="34" t="n">
        <v>12</v>
      </c>
      <c r="G6" s="34" t="n">
        <v>15000</v>
      </c>
      <c r="H6" s="48">
        <f>IFERROR(VLOOKUP(A6,F_Tabelle,10,FALSE),"")</f>
        <v/>
      </c>
      <c r="I6" s="49">
        <f>IF(OR(D6="",F6=""),"",IF(F6=0,"",EDATE(D6,F6)))</f>
        <v/>
      </c>
      <c r="J6" s="50">
        <f>IF(I6="","",I6-TODAY())</f>
        <v/>
      </c>
      <c r="K6" s="48">
        <f>IF(OR(E6="",G6=""),"",IF(G6=0,"",E6+G6))</f>
        <v/>
      </c>
      <c r="L6" s="48">
        <f>IF(OR(K6="",H6=""),"",K6-H6)</f>
        <v/>
      </c>
      <c r="M6" s="50">
        <f>IF(AND(J6="",L6=""),"",IF(OR(AND(J6&lt;&gt;"",J6&lt;0),AND(L6&lt;&gt;"",L6&lt;0)),"🔴 Überfällig",IF(OR(AND(J6&lt;&gt;"",J6&lt;=30),AND(L6&lt;&gt;"",L6&lt;=1000)),"🟡 Bald fällig","🟢 OK")))</f>
        <v/>
      </c>
      <c r="N6" s="38" t="inlineStr">
        <is>
          <t>Werkstatt Müller</t>
        </is>
      </c>
    </row>
    <row r="7">
      <c r="A7" s="32" t="inlineStr">
        <is>
          <t>B-AH 2050</t>
        </is>
      </c>
      <c r="B7" s="32" t="inlineStr">
        <is>
          <t>Transporter</t>
        </is>
      </c>
      <c r="C7" s="32" t="inlineStr">
        <is>
          <t>Inspektion</t>
        </is>
      </c>
      <c r="D7" s="33" t="n">
        <v>45971</v>
      </c>
      <c r="E7" s="41" t="n">
        <v>130000</v>
      </c>
      <c r="F7" s="32" t="n">
        <v>12</v>
      </c>
      <c r="G7" s="32" t="n">
        <v>40000</v>
      </c>
      <c r="H7" s="48">
        <f>IFERROR(VLOOKUP(A7,F_Tabelle,10,FALSE),"")</f>
        <v/>
      </c>
      <c r="I7" s="49">
        <f>IF(OR(D7="",F7=""),"",IF(F7=0,"",EDATE(D7,F7)))</f>
        <v/>
      </c>
      <c r="J7" s="50">
        <f>IF(I7="","",I7-TODAY())</f>
        <v/>
      </c>
      <c r="K7" s="48">
        <f>IF(OR(E7="",G7=""),"",IF(G7=0,"",E7+G7))</f>
        <v/>
      </c>
      <c r="L7" s="48">
        <f>IF(OR(K7="",H7=""),"",K7-H7)</f>
        <v/>
      </c>
      <c r="M7" s="50">
        <f>IF(AND(J7="",L7=""),"",IF(OR(AND(J7&lt;&gt;"",J7&lt;0),AND(L7&lt;&gt;"",L7&lt;0)),"🔴 Überfällig",IF(OR(AND(J7&lt;&gt;"",J7&lt;=30),AND(L7&lt;&gt;"",L7&lt;=1000)),"🟡 Bald fällig","🟢 OK")))</f>
        <v/>
      </c>
      <c r="N7" s="40" t="inlineStr">
        <is>
          <t>MB-Service</t>
        </is>
      </c>
    </row>
    <row r="8">
      <c r="A8" s="34" t="inlineStr">
        <is>
          <t>B-AH 2050</t>
        </is>
      </c>
      <c r="B8" s="34" t="inlineStr">
        <is>
          <t>Transporter</t>
        </is>
      </c>
      <c r="C8" s="34" t="inlineStr">
        <is>
          <t>HU/AU (TÜV)</t>
        </is>
      </c>
      <c r="D8" s="35" t="n">
        <v>45853</v>
      </c>
      <c r="E8" s="39" t="n">
        <v>120000</v>
      </c>
      <c r="F8" s="34" t="n">
        <v>12</v>
      </c>
      <c r="G8" s="34" t="n">
        <v>0</v>
      </c>
      <c r="H8" s="48">
        <f>IFERROR(VLOOKUP(A8,F_Tabelle,10,FALSE),"")</f>
        <v/>
      </c>
      <c r="I8" s="49">
        <f>IF(OR(D8="",F8=""),"",IF(F8=0,"",EDATE(D8,F8)))</f>
        <v/>
      </c>
      <c r="J8" s="50">
        <f>IF(I8="","",I8-TODAY())</f>
        <v/>
      </c>
      <c r="K8" s="48">
        <f>IF(OR(E8="",G8=""),"",IF(G8=0,"",E8+G8))</f>
        <v/>
      </c>
      <c r="L8" s="48">
        <f>IF(OR(K8="",H8=""),"",K8-H8)</f>
        <v/>
      </c>
      <c r="M8" s="50">
        <f>IF(AND(J8="",L8=""),"",IF(OR(AND(J8&lt;&gt;"",J8&lt;0),AND(L8&lt;&gt;"",L8&lt;0)),"🔴 Überfällig",IF(OR(AND(J8&lt;&gt;"",J8&lt;=30),AND(L8&lt;&gt;"",L8&lt;=1000)),"🟡 Bald fällig","🟢 OK")))</f>
        <v/>
      </c>
      <c r="N8" s="38" t="inlineStr">
        <is>
          <t>DEKRA</t>
        </is>
      </c>
    </row>
    <row r="9">
      <c r="A9" s="32" t="inlineStr">
        <is>
          <t>B-AH 2051</t>
        </is>
      </c>
      <c r="B9" s="32" t="inlineStr">
        <is>
          <t>Transporter</t>
        </is>
      </c>
      <c r="C9" s="32" t="inlineStr">
        <is>
          <t>Bremsen</t>
        </is>
      </c>
      <c r="D9" s="33" t="n">
        <v>45870</v>
      </c>
      <c r="E9" s="41" t="n">
        <v>28000</v>
      </c>
      <c r="F9" s="32" t="n">
        <v>12</v>
      </c>
      <c r="G9" s="32" t="n">
        <v>50000</v>
      </c>
      <c r="H9" s="48">
        <f>IFERROR(VLOOKUP(A9,F_Tabelle,10,FALSE),"")</f>
        <v/>
      </c>
      <c r="I9" s="49">
        <f>IF(OR(D9="",F9=""),"",IF(F9=0,"",EDATE(D9,F9)))</f>
        <v/>
      </c>
      <c r="J9" s="50">
        <f>IF(I9="","",I9-TODAY())</f>
        <v/>
      </c>
      <c r="K9" s="48">
        <f>IF(OR(E9="",G9=""),"",IF(G9=0,"",E9+G9))</f>
        <v/>
      </c>
      <c r="L9" s="48">
        <f>IF(OR(K9="",H9=""),"",K9-H9)</f>
        <v/>
      </c>
      <c r="M9" s="50">
        <f>IF(AND(J9="",L9=""),"",IF(OR(AND(J9&lt;&gt;"",J9&lt;0),AND(L9&lt;&gt;"",L9&lt;0)),"🔴 Überfällig",IF(OR(AND(J9&lt;&gt;"",J9&lt;=30),AND(L9&lt;&gt;"",L9&lt;=1000)),"🟡 Bald fällig","🟢 OK")))</f>
        <v/>
      </c>
      <c r="N9" s="40" t="inlineStr">
        <is>
          <t>Ford-Service</t>
        </is>
      </c>
    </row>
    <row r="10">
      <c r="A10" s="34" t="inlineStr">
        <is>
          <t>B-AH 7800</t>
        </is>
      </c>
      <c r="B10" s="34" t="inlineStr">
        <is>
          <t>LKW</t>
        </is>
      </c>
      <c r="C10" s="34" t="inlineStr">
        <is>
          <t>SP (Sicherheitsprüfung)</t>
        </is>
      </c>
      <c r="D10" s="35" t="n">
        <v>46021</v>
      </c>
      <c r="E10" s="39" t="n">
        <v>500000</v>
      </c>
      <c r="F10" s="34" t="n">
        <v>6</v>
      </c>
      <c r="G10" s="34" t="n">
        <v>0</v>
      </c>
      <c r="H10" s="48">
        <f>IFERROR(VLOOKUP(A10,F_Tabelle,10,FALSE),"")</f>
        <v/>
      </c>
      <c r="I10" s="49">
        <f>IF(OR(D10="",F10=""),"",IF(F10=0,"",EDATE(D10,F10)))</f>
        <v/>
      </c>
      <c r="J10" s="50">
        <f>IF(I10="","",I10-TODAY())</f>
        <v/>
      </c>
      <c r="K10" s="48">
        <f>IF(OR(E10="",G10=""),"",IF(G10=0,"",E10+G10))</f>
        <v/>
      </c>
      <c r="L10" s="48">
        <f>IF(OR(K10="",H10=""),"",K10-H10)</f>
        <v/>
      </c>
      <c r="M10" s="50">
        <f>IF(AND(J10="",L10=""),"",IF(OR(AND(J10&lt;&gt;"",J10&lt;0),AND(L10&lt;&gt;"",L10&lt;0)),"🔴 Überfällig",IF(OR(AND(J10&lt;&gt;"",J10&lt;=30),AND(L10&lt;&gt;"",L10&lt;=1000)),"🟡 Bald fällig","🟢 OK")))</f>
        <v/>
      </c>
      <c r="N10" s="38" t="inlineStr">
        <is>
          <t>DEKRA</t>
        </is>
      </c>
    </row>
    <row r="11">
      <c r="A11" s="32" t="inlineStr">
        <is>
          <t>B-AH 7800</t>
        </is>
      </c>
      <c r="B11" s="32" t="inlineStr">
        <is>
          <t>LKW</t>
        </is>
      </c>
      <c r="C11" s="32" t="inlineStr">
        <is>
          <t>Inspektion</t>
        </is>
      </c>
      <c r="D11" s="33" t="n">
        <v>46037</v>
      </c>
      <c r="E11" s="41" t="n">
        <v>505000</v>
      </c>
      <c r="F11" s="32" t="n">
        <v>6</v>
      </c>
      <c r="G11" s="32" t="n">
        <v>60000</v>
      </c>
      <c r="H11" s="48">
        <f>IFERROR(VLOOKUP(A11,F_Tabelle,10,FALSE),"")</f>
        <v/>
      </c>
      <c r="I11" s="49">
        <f>IF(OR(D11="",F11=""),"",IF(F11=0,"",EDATE(D11,F11)))</f>
        <v/>
      </c>
      <c r="J11" s="50">
        <f>IF(I11="","",I11-TODAY())</f>
        <v/>
      </c>
      <c r="K11" s="48">
        <f>IF(OR(E11="",G11=""),"",IF(G11=0,"",E11+G11))</f>
        <v/>
      </c>
      <c r="L11" s="48">
        <f>IF(OR(K11="",H11=""),"",K11-H11)</f>
        <v/>
      </c>
      <c r="M11" s="50">
        <f>IF(AND(J11="",L11=""),"",IF(OR(AND(J11&lt;&gt;"",J11&lt;0),AND(L11&lt;&gt;"",L11&lt;0)),"🔴 Überfällig",IF(OR(AND(J11&lt;&gt;"",J11&lt;=30),AND(L11&lt;&gt;"",L11&lt;=1000)),"🟡 Bald fällig","🟢 OK")))</f>
        <v/>
      </c>
      <c r="N11" s="40" t="inlineStr">
        <is>
          <t>MAN-Service</t>
        </is>
      </c>
    </row>
    <row r="12">
      <c r="A12" s="34" t="inlineStr">
        <is>
          <t>B-AH 7801</t>
        </is>
      </c>
      <c r="B12" s="34" t="inlineStr">
        <is>
          <t>LKW</t>
        </is>
      </c>
      <c r="C12" s="34" t="inlineStr">
        <is>
          <t>HU/AU (TÜV)</t>
        </is>
      </c>
      <c r="D12" s="35" t="n">
        <v>45981</v>
      </c>
      <c r="E12" s="39" t="n">
        <v>295000</v>
      </c>
      <c r="F12" s="34" t="n">
        <v>12</v>
      </c>
      <c r="G12" s="34" t="n">
        <v>0</v>
      </c>
      <c r="H12" s="48">
        <f>IFERROR(VLOOKUP(A12,F_Tabelle,10,FALSE),"")</f>
        <v/>
      </c>
      <c r="I12" s="49">
        <f>IF(OR(D12="",F12=""),"",IF(F12=0,"",EDATE(D12,F12)))</f>
        <v/>
      </c>
      <c r="J12" s="50">
        <f>IF(I12="","",I12-TODAY())</f>
        <v/>
      </c>
      <c r="K12" s="48">
        <f>IF(OR(E12="",G12=""),"",IF(G12=0,"",E12+G12))</f>
        <v/>
      </c>
      <c r="L12" s="48">
        <f>IF(OR(K12="",H12=""),"",K12-H12)</f>
        <v/>
      </c>
      <c r="M12" s="50">
        <f>IF(AND(J12="",L12=""),"",IF(OR(AND(J12&lt;&gt;"",J12&lt;0),AND(L12&lt;&gt;"",L12&lt;0)),"🔴 Überfällig",IF(OR(AND(J12&lt;&gt;"",J12&lt;=30),AND(L12&lt;&gt;"",L12&lt;=1000)),"🟡 Bald fällig","🟢 OK")))</f>
        <v/>
      </c>
      <c r="N12" s="38" t="inlineStr">
        <is>
          <t>DEKRA</t>
        </is>
      </c>
    </row>
    <row r="13">
      <c r="A13" s="32" t="inlineStr">
        <is>
          <t>B-AH 7801</t>
        </is>
      </c>
      <c r="B13" s="32" t="inlineStr">
        <is>
          <t>LKW</t>
        </is>
      </c>
      <c r="C13" s="32" t="inlineStr">
        <is>
          <t>Tachograph</t>
        </is>
      </c>
      <c r="D13" s="33" t="n">
        <v>45616</v>
      </c>
      <c r="E13" s="41" t="n">
        <v>280000</v>
      </c>
      <c r="F13" s="32" t="n">
        <v>24</v>
      </c>
      <c r="G13" s="32" t="n">
        <v>0</v>
      </c>
      <c r="H13" s="48">
        <f>IFERROR(VLOOKUP(A13,F_Tabelle,10,FALSE),"")</f>
        <v/>
      </c>
      <c r="I13" s="49">
        <f>IF(OR(D13="",F13=""),"",IF(F13=0,"",EDATE(D13,F13)))</f>
        <v/>
      </c>
      <c r="J13" s="50">
        <f>IF(I13="","",I13-TODAY())</f>
        <v/>
      </c>
      <c r="K13" s="48">
        <f>IF(OR(E13="",G13=""),"",IF(G13=0,"",E13+G13))</f>
        <v/>
      </c>
      <c r="L13" s="48">
        <f>IF(OR(K13="",H13=""),"",K13-H13)</f>
        <v/>
      </c>
      <c r="M13" s="50">
        <f>IF(AND(J13="",L13=""),"",IF(OR(AND(J13&lt;&gt;"",J13&lt;0),AND(L13&lt;&gt;"",L13&lt;0)),"🔴 Überfällig",IF(OR(AND(J13&lt;&gt;"",J13&lt;=30),AND(L13&lt;&gt;"",L13&lt;=1000)),"🟡 Bald fällig","🟢 OK")))</f>
        <v/>
      </c>
      <c r="N13" s="40" t="inlineStr">
        <is>
          <t>Fachbetrieb</t>
        </is>
      </c>
    </row>
    <row r="14">
      <c r="A14" s="34" t="n"/>
      <c r="B14" s="34" t="n"/>
      <c r="C14" s="34" t="n"/>
      <c r="D14" s="34" t="n"/>
      <c r="E14" s="34" t="n"/>
      <c r="F14" s="34" t="n"/>
      <c r="G14" s="34" t="n"/>
      <c r="H14" s="48">
        <f>IFERROR(VLOOKUP(A14,F_Tabelle,10,FALSE),"")</f>
        <v/>
      </c>
      <c r="I14" s="49">
        <f>IF(OR(D14="",F14=""),"",IF(F14=0,"",EDATE(D14,F14)))</f>
        <v/>
      </c>
      <c r="J14" s="50">
        <f>IF(I14="","",I14-TODAY())</f>
        <v/>
      </c>
      <c r="K14" s="48">
        <f>IF(OR(E14="",G14=""),"",IF(G14=0,"",E14+G14))</f>
        <v/>
      </c>
      <c r="L14" s="48">
        <f>IF(OR(K14="",H14=""),"",K14-H14)</f>
        <v/>
      </c>
      <c r="M14" s="50">
        <f>IF(AND(J14="",L14=""),"",IF(OR(AND(J14&lt;&gt;"",J14&lt;0),AND(L14&lt;&gt;"",L14&lt;0)),"🔴 Überfällig",IF(OR(AND(J14&lt;&gt;"",J14&lt;=30),AND(L14&lt;&gt;"",L14&lt;=1000)),"🟡 Bald fällig","🟢 OK")))</f>
        <v/>
      </c>
      <c r="N14" s="38" t="n"/>
    </row>
    <row r="15">
      <c r="A15" s="32" t="n"/>
      <c r="B15" s="32" t="n"/>
      <c r="C15" s="32" t="n"/>
      <c r="D15" s="32" t="n"/>
      <c r="E15" s="32" t="n"/>
      <c r="F15" s="32" t="n"/>
      <c r="G15" s="32" t="n"/>
      <c r="H15" s="48">
        <f>IFERROR(VLOOKUP(A15,F_Tabelle,10,FALSE),"")</f>
        <v/>
      </c>
      <c r="I15" s="49">
        <f>IF(OR(D15="",F15=""),"",IF(F15=0,"",EDATE(D15,F15)))</f>
        <v/>
      </c>
      <c r="J15" s="50">
        <f>IF(I15="","",I15-TODAY())</f>
        <v/>
      </c>
      <c r="K15" s="48">
        <f>IF(OR(E15="",G15=""),"",IF(G15=0,"",E15+G15))</f>
        <v/>
      </c>
      <c r="L15" s="48">
        <f>IF(OR(K15="",H15=""),"",K15-H15)</f>
        <v/>
      </c>
      <c r="M15" s="50">
        <f>IF(AND(J15="",L15=""),"",IF(OR(AND(J15&lt;&gt;"",J15&lt;0),AND(L15&lt;&gt;"",L15&lt;0)),"🔴 Überfällig",IF(OR(AND(J15&lt;&gt;"",J15&lt;=30),AND(L15&lt;&gt;"",L15&lt;=1000)),"🟡 Bald fällig","🟢 OK")))</f>
        <v/>
      </c>
      <c r="N15" s="40" t="n"/>
    </row>
    <row r="16">
      <c r="A16" s="34" t="n"/>
      <c r="B16" s="34" t="n"/>
      <c r="C16" s="34" t="n"/>
      <c r="D16" s="34" t="n"/>
      <c r="E16" s="34" t="n"/>
      <c r="F16" s="34" t="n"/>
      <c r="G16" s="34" t="n"/>
      <c r="H16" s="48">
        <f>IFERROR(VLOOKUP(A16,F_Tabelle,10,FALSE),"")</f>
        <v/>
      </c>
      <c r="I16" s="49">
        <f>IF(OR(D16="",F16=""),"",IF(F16=0,"",EDATE(D16,F16)))</f>
        <v/>
      </c>
      <c r="J16" s="50">
        <f>IF(I16="","",I16-TODAY())</f>
        <v/>
      </c>
      <c r="K16" s="48">
        <f>IF(OR(E16="",G16=""),"",IF(G16=0,"",E16+G16))</f>
        <v/>
      </c>
      <c r="L16" s="48">
        <f>IF(OR(K16="",H16=""),"",K16-H16)</f>
        <v/>
      </c>
      <c r="M16" s="50">
        <f>IF(AND(J16="",L16=""),"",IF(OR(AND(J16&lt;&gt;"",J16&lt;0),AND(L16&lt;&gt;"",L16&lt;0)),"🔴 Überfällig",IF(OR(AND(J16&lt;&gt;"",J16&lt;=30),AND(L16&lt;&gt;"",L16&lt;=1000)),"🟡 Bald fällig","🟢 OK")))</f>
        <v/>
      </c>
      <c r="N16" s="38" t="n"/>
    </row>
    <row r="17">
      <c r="A17" s="32" t="n"/>
      <c r="B17" s="32" t="n"/>
      <c r="C17" s="32" t="n"/>
      <c r="D17" s="32" t="n"/>
      <c r="E17" s="32" t="n"/>
      <c r="F17" s="32" t="n"/>
      <c r="G17" s="32" t="n"/>
      <c r="H17" s="48">
        <f>IFERROR(VLOOKUP(A17,F_Tabelle,10,FALSE),"")</f>
        <v/>
      </c>
      <c r="I17" s="49">
        <f>IF(OR(D17="",F17=""),"",IF(F17=0,"",EDATE(D17,F17)))</f>
        <v/>
      </c>
      <c r="J17" s="50">
        <f>IF(I17="","",I17-TODAY())</f>
        <v/>
      </c>
      <c r="K17" s="48">
        <f>IF(OR(E17="",G17=""),"",IF(G17=0,"",E17+G17))</f>
        <v/>
      </c>
      <c r="L17" s="48">
        <f>IF(OR(K17="",H17=""),"",K17-H17)</f>
        <v/>
      </c>
      <c r="M17" s="50">
        <f>IF(AND(J17="",L17=""),"",IF(OR(AND(J17&lt;&gt;"",J17&lt;0),AND(L17&lt;&gt;"",L17&lt;0)),"🔴 Überfällig",IF(OR(AND(J17&lt;&gt;"",J17&lt;=30),AND(L17&lt;&gt;"",L17&lt;=1000)),"🟡 Bald fällig","🟢 OK")))</f>
        <v/>
      </c>
      <c r="N17" s="40" t="n"/>
    </row>
    <row r="18">
      <c r="A18" s="34" t="n"/>
      <c r="B18" s="34" t="n"/>
      <c r="C18" s="34" t="n"/>
      <c r="D18" s="34" t="n"/>
      <c r="E18" s="34" t="n"/>
      <c r="F18" s="34" t="n"/>
      <c r="G18" s="34" t="n"/>
      <c r="H18" s="48">
        <f>IFERROR(VLOOKUP(A18,F_Tabelle,10,FALSE),"")</f>
        <v/>
      </c>
      <c r="I18" s="49">
        <f>IF(OR(D18="",F18=""),"",IF(F18=0,"",EDATE(D18,F18)))</f>
        <v/>
      </c>
      <c r="J18" s="50">
        <f>IF(I18="","",I18-TODAY())</f>
        <v/>
      </c>
      <c r="K18" s="48">
        <f>IF(OR(E18="",G18=""),"",IF(G18=0,"",E18+G18))</f>
        <v/>
      </c>
      <c r="L18" s="48">
        <f>IF(OR(K18="",H18=""),"",K18-H18)</f>
        <v/>
      </c>
      <c r="M18" s="50">
        <f>IF(AND(J18="",L18=""),"",IF(OR(AND(J18&lt;&gt;"",J18&lt;0),AND(L18&lt;&gt;"",L18&lt;0)),"🔴 Überfällig",IF(OR(AND(J18&lt;&gt;"",J18&lt;=30),AND(L18&lt;&gt;"",L18&lt;=1000)),"🟡 Bald fällig","🟢 OK")))</f>
        <v/>
      </c>
      <c r="N18" s="38" t="n"/>
    </row>
    <row r="19">
      <c r="A19" s="32" t="n"/>
      <c r="B19" s="32" t="n"/>
      <c r="C19" s="32" t="n"/>
      <c r="D19" s="32" t="n"/>
      <c r="E19" s="32" t="n"/>
      <c r="F19" s="32" t="n"/>
      <c r="G19" s="32" t="n"/>
      <c r="H19" s="48">
        <f>IFERROR(VLOOKUP(A19,F_Tabelle,10,FALSE),"")</f>
        <v/>
      </c>
      <c r="I19" s="49">
        <f>IF(OR(D19="",F19=""),"",IF(F19=0,"",EDATE(D19,F19)))</f>
        <v/>
      </c>
      <c r="J19" s="50">
        <f>IF(I19="","",I19-TODAY())</f>
        <v/>
      </c>
      <c r="K19" s="48">
        <f>IF(OR(E19="",G19=""),"",IF(G19=0,"",E19+G19))</f>
        <v/>
      </c>
      <c r="L19" s="48">
        <f>IF(OR(K19="",H19=""),"",K19-H19)</f>
        <v/>
      </c>
      <c r="M19" s="50">
        <f>IF(AND(J19="",L19=""),"",IF(OR(AND(J19&lt;&gt;"",J19&lt;0),AND(L19&lt;&gt;"",L19&lt;0)),"🔴 Überfällig",IF(OR(AND(J19&lt;&gt;"",J19&lt;=30),AND(L19&lt;&gt;"",L19&lt;=1000)),"🟡 Bald fällig","🟢 OK")))</f>
        <v/>
      </c>
      <c r="N19" s="40" t="n"/>
    </row>
    <row r="20">
      <c r="A20" s="34" t="n"/>
      <c r="B20" s="34" t="n"/>
      <c r="C20" s="34" t="n"/>
      <c r="D20" s="34" t="n"/>
      <c r="E20" s="34" t="n"/>
      <c r="F20" s="34" t="n"/>
      <c r="G20" s="34" t="n"/>
      <c r="H20" s="48">
        <f>IFERROR(VLOOKUP(A20,F_Tabelle,10,FALSE),"")</f>
        <v/>
      </c>
      <c r="I20" s="49">
        <f>IF(OR(D20="",F20=""),"",IF(F20=0,"",EDATE(D20,F20)))</f>
        <v/>
      </c>
      <c r="J20" s="50">
        <f>IF(I20="","",I20-TODAY())</f>
        <v/>
      </c>
      <c r="K20" s="48">
        <f>IF(OR(E20="",G20=""),"",IF(G20=0,"",E20+G20))</f>
        <v/>
      </c>
      <c r="L20" s="48">
        <f>IF(OR(K20="",H20=""),"",K20-H20)</f>
        <v/>
      </c>
      <c r="M20" s="50">
        <f>IF(AND(J20="",L20=""),"",IF(OR(AND(J20&lt;&gt;"",J20&lt;0),AND(L20&lt;&gt;"",L20&lt;0)),"🔴 Überfällig",IF(OR(AND(J20&lt;&gt;"",J20&lt;=30),AND(L20&lt;&gt;"",L20&lt;=1000)),"🟡 Bald fällig","🟢 OK")))</f>
        <v/>
      </c>
      <c r="N20" s="38" t="n"/>
    </row>
    <row r="21">
      <c r="A21" s="32" t="n"/>
      <c r="B21" s="32" t="n"/>
      <c r="C21" s="32" t="n"/>
      <c r="D21" s="32" t="n"/>
      <c r="E21" s="32" t="n"/>
      <c r="F21" s="32" t="n"/>
      <c r="G21" s="32" t="n"/>
      <c r="H21" s="48">
        <f>IFERROR(VLOOKUP(A21,F_Tabelle,10,FALSE),"")</f>
        <v/>
      </c>
      <c r="I21" s="49">
        <f>IF(OR(D21="",F21=""),"",IF(F21=0,"",EDATE(D21,F21)))</f>
        <v/>
      </c>
      <c r="J21" s="50">
        <f>IF(I21="","",I21-TODAY())</f>
        <v/>
      </c>
      <c r="K21" s="48">
        <f>IF(OR(E21="",G21=""),"",IF(G21=0,"",E21+G21))</f>
        <v/>
      </c>
      <c r="L21" s="48">
        <f>IF(OR(K21="",H21=""),"",K21-H21)</f>
        <v/>
      </c>
      <c r="M21" s="50">
        <f>IF(AND(J21="",L21=""),"",IF(OR(AND(J21&lt;&gt;"",J21&lt;0),AND(L21&lt;&gt;"",L21&lt;0)),"🔴 Überfällig",IF(OR(AND(J21&lt;&gt;"",J21&lt;=30),AND(L21&lt;&gt;"",L21&lt;=1000)),"🟡 Bald fällig","🟢 OK")))</f>
        <v/>
      </c>
      <c r="N21" s="40" t="n"/>
    </row>
    <row r="22">
      <c r="A22" s="34" t="n"/>
      <c r="B22" s="34" t="n"/>
      <c r="C22" s="34" t="n"/>
      <c r="D22" s="34" t="n"/>
      <c r="E22" s="34" t="n"/>
      <c r="F22" s="34" t="n"/>
      <c r="G22" s="34" t="n"/>
      <c r="H22" s="48">
        <f>IFERROR(VLOOKUP(A22,F_Tabelle,10,FALSE),"")</f>
        <v/>
      </c>
      <c r="I22" s="49">
        <f>IF(OR(D22="",F22=""),"",IF(F22=0,"",EDATE(D22,F22)))</f>
        <v/>
      </c>
      <c r="J22" s="50">
        <f>IF(I22="","",I22-TODAY())</f>
        <v/>
      </c>
      <c r="K22" s="48">
        <f>IF(OR(E22="",G22=""),"",IF(G22=0,"",E22+G22))</f>
        <v/>
      </c>
      <c r="L22" s="48">
        <f>IF(OR(K22="",H22=""),"",K22-H22)</f>
        <v/>
      </c>
      <c r="M22" s="50">
        <f>IF(AND(J22="",L22=""),"",IF(OR(AND(J22&lt;&gt;"",J22&lt;0),AND(L22&lt;&gt;"",L22&lt;0)),"🔴 Überfällig",IF(OR(AND(J22&lt;&gt;"",J22&lt;=30),AND(L22&lt;&gt;"",L22&lt;=1000)),"🟡 Bald fällig","🟢 OK")))</f>
        <v/>
      </c>
      <c r="N22" s="38" t="n"/>
    </row>
    <row r="23">
      <c r="A23" s="32" t="n"/>
      <c r="B23" s="32" t="n"/>
      <c r="C23" s="32" t="n"/>
      <c r="D23" s="32" t="n"/>
      <c r="E23" s="32" t="n"/>
      <c r="F23" s="32" t="n"/>
      <c r="G23" s="32" t="n"/>
      <c r="H23" s="48">
        <f>IFERROR(VLOOKUP(A23,F_Tabelle,10,FALSE),"")</f>
        <v/>
      </c>
      <c r="I23" s="49">
        <f>IF(OR(D23="",F23=""),"",IF(F23=0,"",EDATE(D23,F23)))</f>
        <v/>
      </c>
      <c r="J23" s="50">
        <f>IF(I23="","",I23-TODAY())</f>
        <v/>
      </c>
      <c r="K23" s="48">
        <f>IF(OR(E23="",G23=""),"",IF(G23=0,"",E23+G23))</f>
        <v/>
      </c>
      <c r="L23" s="48">
        <f>IF(OR(K23="",H23=""),"",K23-H23)</f>
        <v/>
      </c>
      <c r="M23" s="50">
        <f>IF(AND(J23="",L23=""),"",IF(OR(AND(J23&lt;&gt;"",J23&lt;0),AND(L23&lt;&gt;"",L23&lt;0)),"🔴 Überfällig",IF(OR(AND(J23&lt;&gt;"",J23&lt;=30),AND(L23&lt;&gt;"",L23&lt;=1000)),"🟡 Bald fällig","🟢 OK")))</f>
        <v/>
      </c>
      <c r="N23" s="40" t="n"/>
    </row>
    <row r="24">
      <c r="A24" s="34" t="n"/>
      <c r="B24" s="34" t="n"/>
      <c r="C24" s="34" t="n"/>
      <c r="D24" s="34" t="n"/>
      <c r="E24" s="34" t="n"/>
      <c r="F24" s="34" t="n"/>
      <c r="G24" s="34" t="n"/>
      <c r="H24" s="48">
        <f>IFERROR(VLOOKUP(A24,F_Tabelle,10,FALSE),"")</f>
        <v/>
      </c>
      <c r="I24" s="49">
        <f>IF(OR(D24="",F24=""),"",IF(F24=0,"",EDATE(D24,F24)))</f>
        <v/>
      </c>
      <c r="J24" s="50">
        <f>IF(I24="","",I24-TODAY())</f>
        <v/>
      </c>
      <c r="K24" s="48">
        <f>IF(OR(E24="",G24=""),"",IF(G24=0,"",E24+G24))</f>
        <v/>
      </c>
      <c r="L24" s="48">
        <f>IF(OR(K24="",H24=""),"",K24-H24)</f>
        <v/>
      </c>
      <c r="M24" s="50">
        <f>IF(AND(J24="",L24=""),"",IF(OR(AND(J24&lt;&gt;"",J24&lt;0),AND(L24&lt;&gt;"",L24&lt;0)),"🔴 Überfällig",IF(OR(AND(J24&lt;&gt;"",J24&lt;=30),AND(L24&lt;&gt;"",L24&lt;=1000)),"🟡 Bald fällig","🟢 OK")))</f>
        <v/>
      </c>
      <c r="N24" s="38" t="n"/>
    </row>
    <row r="25">
      <c r="A25" s="32" t="n"/>
      <c r="B25" s="32" t="n"/>
      <c r="C25" s="32" t="n"/>
      <c r="D25" s="32" t="n"/>
      <c r="E25" s="32" t="n"/>
      <c r="F25" s="32" t="n"/>
      <c r="G25" s="32" t="n"/>
      <c r="H25" s="48">
        <f>IFERROR(VLOOKUP(A25,F_Tabelle,10,FALSE),"")</f>
        <v/>
      </c>
      <c r="I25" s="49">
        <f>IF(OR(D25="",F25=""),"",IF(F25=0,"",EDATE(D25,F25)))</f>
        <v/>
      </c>
      <c r="J25" s="50">
        <f>IF(I25="","",I25-TODAY())</f>
        <v/>
      </c>
      <c r="K25" s="48">
        <f>IF(OR(E25="",G25=""),"",IF(G25=0,"",E25+G25))</f>
        <v/>
      </c>
      <c r="L25" s="48">
        <f>IF(OR(K25="",H25=""),"",K25-H25)</f>
        <v/>
      </c>
      <c r="M25" s="50">
        <f>IF(AND(J25="",L25=""),"",IF(OR(AND(J25&lt;&gt;"",J25&lt;0),AND(L25&lt;&gt;"",L25&lt;0)),"🔴 Überfällig",IF(OR(AND(J25&lt;&gt;"",J25&lt;=30),AND(L25&lt;&gt;"",L25&lt;=1000)),"🟡 Bald fällig","🟢 OK")))</f>
        <v/>
      </c>
      <c r="N25" s="40" t="n"/>
    </row>
    <row r="26">
      <c r="A26" s="34" t="n"/>
      <c r="B26" s="34" t="n"/>
      <c r="C26" s="34" t="n"/>
      <c r="D26" s="34" t="n"/>
      <c r="E26" s="34" t="n"/>
      <c r="F26" s="34" t="n"/>
      <c r="G26" s="34" t="n"/>
      <c r="H26" s="48">
        <f>IFERROR(VLOOKUP(A26,F_Tabelle,10,FALSE),"")</f>
        <v/>
      </c>
      <c r="I26" s="49">
        <f>IF(OR(D26="",F26=""),"",IF(F26=0,"",EDATE(D26,F26)))</f>
        <v/>
      </c>
      <c r="J26" s="50">
        <f>IF(I26="","",I26-TODAY())</f>
        <v/>
      </c>
      <c r="K26" s="48">
        <f>IF(OR(E26="",G26=""),"",IF(G26=0,"",E26+G26))</f>
        <v/>
      </c>
      <c r="L26" s="48">
        <f>IF(OR(K26="",H26=""),"",K26-H26)</f>
        <v/>
      </c>
      <c r="M26" s="50">
        <f>IF(AND(J26="",L26=""),"",IF(OR(AND(J26&lt;&gt;"",J26&lt;0),AND(L26&lt;&gt;"",L26&lt;0)),"🔴 Überfällig",IF(OR(AND(J26&lt;&gt;"",J26&lt;=30),AND(L26&lt;&gt;"",L26&lt;=1000)),"🟡 Bald fällig","🟢 OK")))</f>
        <v/>
      </c>
      <c r="N26" s="38" t="n"/>
    </row>
    <row r="27">
      <c r="A27" s="32" t="n"/>
      <c r="B27" s="32" t="n"/>
      <c r="C27" s="32" t="n"/>
      <c r="D27" s="32" t="n"/>
      <c r="E27" s="32" t="n"/>
      <c r="F27" s="32" t="n"/>
      <c r="G27" s="32" t="n"/>
      <c r="H27" s="48">
        <f>IFERROR(VLOOKUP(A27,F_Tabelle,10,FALSE),"")</f>
        <v/>
      </c>
      <c r="I27" s="49">
        <f>IF(OR(D27="",F27=""),"",IF(F27=0,"",EDATE(D27,F27)))</f>
        <v/>
      </c>
      <c r="J27" s="50">
        <f>IF(I27="","",I27-TODAY())</f>
        <v/>
      </c>
      <c r="K27" s="48">
        <f>IF(OR(E27="",G27=""),"",IF(G27=0,"",E27+G27))</f>
        <v/>
      </c>
      <c r="L27" s="48">
        <f>IF(OR(K27="",H27=""),"",K27-H27)</f>
        <v/>
      </c>
      <c r="M27" s="50">
        <f>IF(AND(J27="",L27=""),"",IF(OR(AND(J27&lt;&gt;"",J27&lt;0),AND(L27&lt;&gt;"",L27&lt;0)),"🔴 Überfällig",IF(OR(AND(J27&lt;&gt;"",J27&lt;=30),AND(L27&lt;&gt;"",L27&lt;=1000)),"🟡 Bald fällig","🟢 OK")))</f>
        <v/>
      </c>
      <c r="N27" s="40" t="n"/>
    </row>
    <row r="28">
      <c r="A28" s="34" t="n"/>
      <c r="B28" s="34" t="n"/>
      <c r="C28" s="34" t="n"/>
      <c r="D28" s="34" t="n"/>
      <c r="E28" s="34" t="n"/>
      <c r="F28" s="34" t="n"/>
      <c r="G28" s="34" t="n"/>
      <c r="H28" s="48">
        <f>IFERROR(VLOOKUP(A28,F_Tabelle,10,FALSE),"")</f>
        <v/>
      </c>
      <c r="I28" s="49">
        <f>IF(OR(D28="",F28=""),"",IF(F28=0,"",EDATE(D28,F28)))</f>
        <v/>
      </c>
      <c r="J28" s="50">
        <f>IF(I28="","",I28-TODAY())</f>
        <v/>
      </c>
      <c r="K28" s="48">
        <f>IF(OR(E28="",G28=""),"",IF(G28=0,"",E28+G28))</f>
        <v/>
      </c>
      <c r="L28" s="48">
        <f>IF(OR(K28="",H28=""),"",K28-H28)</f>
        <v/>
      </c>
      <c r="M28" s="50">
        <f>IF(AND(J28="",L28=""),"",IF(OR(AND(J28&lt;&gt;"",J28&lt;0),AND(L28&lt;&gt;"",L28&lt;0)),"🔴 Überfällig",IF(OR(AND(J28&lt;&gt;"",J28&lt;=30),AND(L28&lt;&gt;"",L28&lt;=1000)),"🟡 Bald fällig","🟢 OK")))</f>
        <v/>
      </c>
      <c r="N28" s="38" t="n"/>
    </row>
    <row r="29">
      <c r="A29" s="32" t="n"/>
      <c r="B29" s="32" t="n"/>
      <c r="C29" s="32" t="n"/>
      <c r="D29" s="32" t="n"/>
      <c r="E29" s="32" t="n"/>
      <c r="F29" s="32" t="n"/>
      <c r="G29" s="32" t="n"/>
      <c r="H29" s="48">
        <f>IFERROR(VLOOKUP(A29,F_Tabelle,10,FALSE),"")</f>
        <v/>
      </c>
      <c r="I29" s="49">
        <f>IF(OR(D29="",F29=""),"",IF(F29=0,"",EDATE(D29,F29)))</f>
        <v/>
      </c>
      <c r="J29" s="50">
        <f>IF(I29="","",I29-TODAY())</f>
        <v/>
      </c>
      <c r="K29" s="48">
        <f>IF(OR(E29="",G29=""),"",IF(G29=0,"",E29+G29))</f>
        <v/>
      </c>
      <c r="L29" s="48">
        <f>IF(OR(K29="",H29=""),"",K29-H29)</f>
        <v/>
      </c>
      <c r="M29" s="50">
        <f>IF(AND(J29="",L29=""),"",IF(OR(AND(J29&lt;&gt;"",J29&lt;0),AND(L29&lt;&gt;"",L29&lt;0)),"🔴 Überfällig",IF(OR(AND(J29&lt;&gt;"",J29&lt;=30),AND(L29&lt;&gt;"",L29&lt;=1000)),"🟡 Bald fällig","🟢 OK")))</f>
        <v/>
      </c>
      <c r="N29" s="40" t="n"/>
    </row>
    <row r="30">
      <c r="A30" s="34" t="n"/>
      <c r="B30" s="34" t="n"/>
      <c r="C30" s="34" t="n"/>
      <c r="D30" s="34" t="n"/>
      <c r="E30" s="34" t="n"/>
      <c r="F30" s="34" t="n"/>
      <c r="G30" s="34" t="n"/>
      <c r="H30" s="48">
        <f>IFERROR(VLOOKUP(A30,F_Tabelle,10,FALSE),"")</f>
        <v/>
      </c>
      <c r="I30" s="49">
        <f>IF(OR(D30="",F30=""),"",IF(F30=0,"",EDATE(D30,F30)))</f>
        <v/>
      </c>
      <c r="J30" s="50">
        <f>IF(I30="","",I30-TODAY())</f>
        <v/>
      </c>
      <c r="K30" s="48">
        <f>IF(OR(E30="",G30=""),"",IF(G30=0,"",E30+G30))</f>
        <v/>
      </c>
      <c r="L30" s="48">
        <f>IF(OR(K30="",H30=""),"",K30-H30)</f>
        <v/>
      </c>
      <c r="M30" s="50">
        <f>IF(AND(J30="",L30=""),"",IF(OR(AND(J30&lt;&gt;"",J30&lt;0),AND(L30&lt;&gt;"",L30&lt;0)),"🔴 Überfällig",IF(OR(AND(J30&lt;&gt;"",J30&lt;=30),AND(L30&lt;&gt;"",L30&lt;=1000)),"🟡 Bald fällig","🟢 OK")))</f>
        <v/>
      </c>
      <c r="N30" s="38" t="n"/>
    </row>
    <row r="31">
      <c r="A31" s="32" t="n"/>
      <c r="B31" s="32" t="n"/>
      <c r="C31" s="32" t="n"/>
      <c r="D31" s="32" t="n"/>
      <c r="E31" s="32" t="n"/>
      <c r="F31" s="32" t="n"/>
      <c r="G31" s="32" t="n"/>
      <c r="H31" s="48">
        <f>IFERROR(VLOOKUP(A31,F_Tabelle,10,FALSE),"")</f>
        <v/>
      </c>
      <c r="I31" s="49">
        <f>IF(OR(D31="",F31=""),"",IF(F31=0,"",EDATE(D31,F31)))</f>
        <v/>
      </c>
      <c r="J31" s="50">
        <f>IF(I31="","",I31-TODAY())</f>
        <v/>
      </c>
      <c r="K31" s="48">
        <f>IF(OR(E31="",G31=""),"",IF(G31=0,"",E31+G31))</f>
        <v/>
      </c>
      <c r="L31" s="48">
        <f>IF(OR(K31="",H31=""),"",K31-H31)</f>
        <v/>
      </c>
      <c r="M31" s="50">
        <f>IF(AND(J31="",L31=""),"",IF(OR(AND(J31&lt;&gt;"",J31&lt;0),AND(L31&lt;&gt;"",L31&lt;0)),"🔴 Überfällig",IF(OR(AND(J31&lt;&gt;"",J31&lt;=30),AND(L31&lt;&gt;"",L31&lt;=1000)),"🟡 Bald fällig","🟢 OK")))</f>
        <v/>
      </c>
      <c r="N31" s="40" t="n"/>
    </row>
    <row r="32">
      <c r="A32" s="34" t="n"/>
      <c r="B32" s="34" t="n"/>
      <c r="C32" s="34" t="n"/>
      <c r="D32" s="34" t="n"/>
      <c r="E32" s="34" t="n"/>
      <c r="F32" s="34" t="n"/>
      <c r="G32" s="34" t="n"/>
      <c r="H32" s="48">
        <f>IFERROR(VLOOKUP(A32,F_Tabelle,10,FALSE),"")</f>
        <v/>
      </c>
      <c r="I32" s="49">
        <f>IF(OR(D32="",F32=""),"",IF(F32=0,"",EDATE(D32,F32)))</f>
        <v/>
      </c>
      <c r="J32" s="50">
        <f>IF(I32="","",I32-TODAY())</f>
        <v/>
      </c>
      <c r="K32" s="48">
        <f>IF(OR(E32="",G32=""),"",IF(G32=0,"",E32+G32))</f>
        <v/>
      </c>
      <c r="L32" s="48">
        <f>IF(OR(K32="",H32=""),"",K32-H32)</f>
        <v/>
      </c>
      <c r="M32" s="50">
        <f>IF(AND(J32="",L32=""),"",IF(OR(AND(J32&lt;&gt;"",J32&lt;0),AND(L32&lt;&gt;"",L32&lt;0)),"🔴 Überfällig",IF(OR(AND(J32&lt;&gt;"",J32&lt;=30),AND(L32&lt;&gt;"",L32&lt;=1000)),"🟡 Bald fällig","🟢 OK")))</f>
        <v/>
      </c>
      <c r="N32" s="38" t="n"/>
    </row>
    <row r="33">
      <c r="A33" s="32" t="n"/>
      <c r="B33" s="32" t="n"/>
      <c r="C33" s="32" t="n"/>
      <c r="D33" s="32" t="n"/>
      <c r="E33" s="32" t="n"/>
      <c r="F33" s="32" t="n"/>
      <c r="G33" s="32" t="n"/>
      <c r="H33" s="48">
        <f>IFERROR(VLOOKUP(A33,F_Tabelle,10,FALSE),"")</f>
        <v/>
      </c>
      <c r="I33" s="49">
        <f>IF(OR(D33="",F33=""),"",IF(F33=0,"",EDATE(D33,F33)))</f>
        <v/>
      </c>
      <c r="J33" s="50">
        <f>IF(I33="","",I33-TODAY())</f>
        <v/>
      </c>
      <c r="K33" s="48">
        <f>IF(OR(E33="",G33=""),"",IF(G33=0,"",E33+G33))</f>
        <v/>
      </c>
      <c r="L33" s="48">
        <f>IF(OR(K33="",H33=""),"",K33-H33)</f>
        <v/>
      </c>
      <c r="M33" s="50">
        <f>IF(AND(J33="",L33=""),"",IF(OR(AND(J33&lt;&gt;"",J33&lt;0),AND(L33&lt;&gt;"",L33&lt;0)),"🔴 Überfällig",IF(OR(AND(J33&lt;&gt;"",J33&lt;=30),AND(L33&lt;&gt;"",L33&lt;=1000)),"🟡 Bald fällig","🟢 OK")))</f>
        <v/>
      </c>
      <c r="N33" s="40" t="n"/>
    </row>
    <row r="34">
      <c r="A34" s="34" t="n"/>
      <c r="B34" s="34" t="n"/>
      <c r="C34" s="34" t="n"/>
      <c r="D34" s="34" t="n"/>
      <c r="E34" s="34" t="n"/>
      <c r="F34" s="34" t="n"/>
      <c r="G34" s="34" t="n"/>
      <c r="H34" s="48">
        <f>IFERROR(VLOOKUP(A34,F_Tabelle,10,FALSE),"")</f>
        <v/>
      </c>
      <c r="I34" s="49">
        <f>IF(OR(D34="",F34=""),"",IF(F34=0,"",EDATE(D34,F34)))</f>
        <v/>
      </c>
      <c r="J34" s="50">
        <f>IF(I34="","",I34-TODAY())</f>
        <v/>
      </c>
      <c r="K34" s="48">
        <f>IF(OR(E34="",G34=""),"",IF(G34=0,"",E34+G34))</f>
        <v/>
      </c>
      <c r="L34" s="48">
        <f>IF(OR(K34="",H34=""),"",K34-H34)</f>
        <v/>
      </c>
      <c r="M34" s="50">
        <f>IF(AND(J34="",L34=""),"",IF(OR(AND(J34&lt;&gt;"",J34&lt;0),AND(L34&lt;&gt;"",L34&lt;0)),"🔴 Überfällig",IF(OR(AND(J34&lt;&gt;"",J34&lt;=30),AND(L34&lt;&gt;"",L34&lt;=1000)),"🟡 Bald fällig","🟢 OK")))</f>
        <v/>
      </c>
      <c r="N34" s="38" t="n"/>
    </row>
    <row r="35">
      <c r="A35" s="32" t="n"/>
      <c r="B35" s="32" t="n"/>
      <c r="C35" s="32" t="n"/>
      <c r="D35" s="32" t="n"/>
      <c r="E35" s="32" t="n"/>
      <c r="F35" s="32" t="n"/>
      <c r="G35" s="32" t="n"/>
      <c r="H35" s="48">
        <f>IFERROR(VLOOKUP(A35,F_Tabelle,10,FALSE),"")</f>
        <v/>
      </c>
      <c r="I35" s="49">
        <f>IF(OR(D35="",F35=""),"",IF(F35=0,"",EDATE(D35,F35)))</f>
        <v/>
      </c>
      <c r="J35" s="50">
        <f>IF(I35="","",I35-TODAY())</f>
        <v/>
      </c>
      <c r="K35" s="48">
        <f>IF(OR(E35="",G35=""),"",IF(G35=0,"",E35+G35))</f>
        <v/>
      </c>
      <c r="L35" s="48">
        <f>IF(OR(K35="",H35=""),"",K35-H35)</f>
        <v/>
      </c>
      <c r="M35" s="50">
        <f>IF(AND(J35="",L35=""),"",IF(OR(AND(J35&lt;&gt;"",J35&lt;0),AND(L35&lt;&gt;"",L35&lt;0)),"🔴 Überfällig",IF(OR(AND(J35&lt;&gt;"",J35&lt;=30),AND(L35&lt;&gt;"",L35&lt;=1000)),"🟡 Bald fällig","🟢 OK")))</f>
        <v/>
      </c>
      <c r="N35" s="40" t="n"/>
    </row>
    <row r="36">
      <c r="A36" s="34" t="n"/>
      <c r="B36" s="34" t="n"/>
      <c r="C36" s="34" t="n"/>
      <c r="D36" s="34" t="n"/>
      <c r="E36" s="34" t="n"/>
      <c r="F36" s="34" t="n"/>
      <c r="G36" s="34" t="n"/>
      <c r="H36" s="48">
        <f>IFERROR(VLOOKUP(A36,F_Tabelle,10,FALSE),"")</f>
        <v/>
      </c>
      <c r="I36" s="49">
        <f>IF(OR(D36="",F36=""),"",IF(F36=0,"",EDATE(D36,F36)))</f>
        <v/>
      </c>
      <c r="J36" s="50">
        <f>IF(I36="","",I36-TODAY())</f>
        <v/>
      </c>
      <c r="K36" s="48">
        <f>IF(OR(E36="",G36=""),"",IF(G36=0,"",E36+G36))</f>
        <v/>
      </c>
      <c r="L36" s="48">
        <f>IF(OR(K36="",H36=""),"",K36-H36)</f>
        <v/>
      </c>
      <c r="M36" s="50">
        <f>IF(AND(J36="",L36=""),"",IF(OR(AND(J36&lt;&gt;"",J36&lt;0),AND(L36&lt;&gt;"",L36&lt;0)),"🔴 Überfällig",IF(OR(AND(J36&lt;&gt;"",J36&lt;=30),AND(L36&lt;&gt;"",L36&lt;=1000)),"🟡 Bald fällig","🟢 OK")))</f>
        <v/>
      </c>
      <c r="N36" s="38" t="n"/>
    </row>
    <row r="37">
      <c r="A37" s="32" t="n"/>
      <c r="B37" s="32" t="n"/>
      <c r="C37" s="32" t="n"/>
      <c r="D37" s="32" t="n"/>
      <c r="E37" s="32" t="n"/>
      <c r="F37" s="32" t="n"/>
      <c r="G37" s="32" t="n"/>
      <c r="H37" s="48">
        <f>IFERROR(VLOOKUP(A37,F_Tabelle,10,FALSE),"")</f>
        <v/>
      </c>
      <c r="I37" s="49">
        <f>IF(OR(D37="",F37=""),"",IF(F37=0,"",EDATE(D37,F37)))</f>
        <v/>
      </c>
      <c r="J37" s="50">
        <f>IF(I37="","",I37-TODAY())</f>
        <v/>
      </c>
      <c r="K37" s="48">
        <f>IF(OR(E37="",G37=""),"",IF(G37=0,"",E37+G37))</f>
        <v/>
      </c>
      <c r="L37" s="48">
        <f>IF(OR(K37="",H37=""),"",K37-H37)</f>
        <v/>
      </c>
      <c r="M37" s="50">
        <f>IF(AND(J37="",L37=""),"",IF(OR(AND(J37&lt;&gt;"",J37&lt;0),AND(L37&lt;&gt;"",L37&lt;0)),"🔴 Überfällig",IF(OR(AND(J37&lt;&gt;"",J37&lt;=30),AND(L37&lt;&gt;"",L37&lt;=1000)),"🟡 Bald fällig","🟢 OK")))</f>
        <v/>
      </c>
      <c r="N37" s="40" t="n"/>
    </row>
    <row r="38">
      <c r="A38" s="34" t="n"/>
      <c r="B38" s="34" t="n"/>
      <c r="C38" s="34" t="n"/>
      <c r="D38" s="34" t="n"/>
      <c r="E38" s="34" t="n"/>
      <c r="F38" s="34" t="n"/>
      <c r="G38" s="34" t="n"/>
      <c r="H38" s="48">
        <f>IFERROR(VLOOKUP(A38,F_Tabelle,10,FALSE),"")</f>
        <v/>
      </c>
      <c r="I38" s="49">
        <f>IF(OR(D38="",F38=""),"",IF(F38=0,"",EDATE(D38,F38)))</f>
        <v/>
      </c>
      <c r="J38" s="50">
        <f>IF(I38="","",I38-TODAY())</f>
        <v/>
      </c>
      <c r="K38" s="48">
        <f>IF(OR(E38="",G38=""),"",IF(G38=0,"",E38+G38))</f>
        <v/>
      </c>
      <c r="L38" s="48">
        <f>IF(OR(K38="",H38=""),"",K38-H38)</f>
        <v/>
      </c>
      <c r="M38" s="50">
        <f>IF(AND(J38="",L38=""),"",IF(OR(AND(J38&lt;&gt;"",J38&lt;0),AND(L38&lt;&gt;"",L38&lt;0)),"🔴 Überfällig",IF(OR(AND(J38&lt;&gt;"",J38&lt;=30),AND(L38&lt;&gt;"",L38&lt;=1000)),"🟡 Bald fällig","🟢 OK")))</f>
        <v/>
      </c>
      <c r="N38" s="38" t="n"/>
    </row>
    <row r="39">
      <c r="A39" s="32" t="n"/>
      <c r="B39" s="32" t="n"/>
      <c r="C39" s="32" t="n"/>
      <c r="D39" s="32" t="n"/>
      <c r="E39" s="32" t="n"/>
      <c r="F39" s="32" t="n"/>
      <c r="G39" s="32" t="n"/>
      <c r="H39" s="48">
        <f>IFERROR(VLOOKUP(A39,F_Tabelle,10,FALSE),"")</f>
        <v/>
      </c>
      <c r="I39" s="49">
        <f>IF(OR(D39="",F39=""),"",IF(F39=0,"",EDATE(D39,F39)))</f>
        <v/>
      </c>
      <c r="J39" s="50">
        <f>IF(I39="","",I39-TODAY())</f>
        <v/>
      </c>
      <c r="K39" s="48">
        <f>IF(OR(E39="",G39=""),"",IF(G39=0,"",E39+G39))</f>
        <v/>
      </c>
      <c r="L39" s="48">
        <f>IF(OR(K39="",H39=""),"",K39-H39)</f>
        <v/>
      </c>
      <c r="M39" s="50">
        <f>IF(AND(J39="",L39=""),"",IF(OR(AND(J39&lt;&gt;"",J39&lt;0),AND(L39&lt;&gt;"",L39&lt;0)),"🔴 Überfällig",IF(OR(AND(J39&lt;&gt;"",J39&lt;=30),AND(L39&lt;&gt;"",L39&lt;=1000)),"🟡 Bald fällig","🟢 OK")))</f>
        <v/>
      </c>
      <c r="N39" s="40" t="n"/>
    </row>
    <row r="40">
      <c r="A40" s="34" t="n"/>
      <c r="B40" s="34" t="n"/>
      <c r="C40" s="34" t="n"/>
      <c r="D40" s="34" t="n"/>
      <c r="E40" s="34" t="n"/>
      <c r="F40" s="34" t="n"/>
      <c r="G40" s="34" t="n"/>
      <c r="H40" s="48">
        <f>IFERROR(VLOOKUP(A40,F_Tabelle,10,FALSE),"")</f>
        <v/>
      </c>
      <c r="I40" s="49">
        <f>IF(OR(D40="",F40=""),"",IF(F40=0,"",EDATE(D40,F40)))</f>
        <v/>
      </c>
      <c r="J40" s="50">
        <f>IF(I40="","",I40-TODAY())</f>
        <v/>
      </c>
      <c r="K40" s="48">
        <f>IF(OR(E40="",G40=""),"",IF(G40=0,"",E40+G40))</f>
        <v/>
      </c>
      <c r="L40" s="48">
        <f>IF(OR(K40="",H40=""),"",K40-H40)</f>
        <v/>
      </c>
      <c r="M40" s="50">
        <f>IF(AND(J40="",L40=""),"",IF(OR(AND(J40&lt;&gt;"",J40&lt;0),AND(L40&lt;&gt;"",L40&lt;0)),"🔴 Überfällig",IF(OR(AND(J40&lt;&gt;"",J40&lt;=30),AND(L40&lt;&gt;"",L40&lt;=1000)),"🟡 Bald fällig","🟢 OK")))</f>
        <v/>
      </c>
      <c r="N40" s="38" t="n"/>
    </row>
    <row r="41">
      <c r="A41" s="32" t="n"/>
      <c r="B41" s="32" t="n"/>
      <c r="C41" s="32" t="n"/>
      <c r="D41" s="32" t="n"/>
      <c r="E41" s="32" t="n"/>
      <c r="F41" s="32" t="n"/>
      <c r="G41" s="32" t="n"/>
      <c r="H41" s="48">
        <f>IFERROR(VLOOKUP(A41,F_Tabelle,10,FALSE),"")</f>
        <v/>
      </c>
      <c r="I41" s="49">
        <f>IF(OR(D41="",F41=""),"",IF(F41=0,"",EDATE(D41,F41)))</f>
        <v/>
      </c>
      <c r="J41" s="50">
        <f>IF(I41="","",I41-TODAY())</f>
        <v/>
      </c>
      <c r="K41" s="48">
        <f>IF(OR(E41="",G41=""),"",IF(G41=0,"",E41+G41))</f>
        <v/>
      </c>
      <c r="L41" s="48">
        <f>IF(OR(K41="",H41=""),"",K41-H41)</f>
        <v/>
      </c>
      <c r="M41" s="50">
        <f>IF(AND(J41="",L41=""),"",IF(OR(AND(J41&lt;&gt;"",J41&lt;0),AND(L41&lt;&gt;"",L41&lt;0)),"🔴 Überfällig",IF(OR(AND(J41&lt;&gt;"",J41&lt;=30),AND(L41&lt;&gt;"",L41&lt;=1000)),"🟡 Bald fällig","🟢 OK")))</f>
        <v/>
      </c>
      <c r="N41" s="40" t="n"/>
    </row>
    <row r="42">
      <c r="A42" s="34" t="n"/>
      <c r="B42" s="34" t="n"/>
      <c r="C42" s="34" t="n"/>
      <c r="D42" s="34" t="n"/>
      <c r="E42" s="34" t="n"/>
      <c r="F42" s="34" t="n"/>
      <c r="G42" s="34" t="n"/>
      <c r="H42" s="48">
        <f>IFERROR(VLOOKUP(A42,F_Tabelle,10,FALSE),"")</f>
        <v/>
      </c>
      <c r="I42" s="49">
        <f>IF(OR(D42="",F42=""),"",IF(F42=0,"",EDATE(D42,F42)))</f>
        <v/>
      </c>
      <c r="J42" s="50">
        <f>IF(I42="","",I42-TODAY())</f>
        <v/>
      </c>
      <c r="K42" s="48">
        <f>IF(OR(E42="",G42=""),"",IF(G42=0,"",E42+G42))</f>
        <v/>
      </c>
      <c r="L42" s="48">
        <f>IF(OR(K42="",H42=""),"",K42-H42)</f>
        <v/>
      </c>
      <c r="M42" s="50">
        <f>IF(AND(J42="",L42=""),"",IF(OR(AND(J42&lt;&gt;"",J42&lt;0),AND(L42&lt;&gt;"",L42&lt;0)),"🔴 Überfällig",IF(OR(AND(J42&lt;&gt;"",J42&lt;=30),AND(L42&lt;&gt;"",L42&lt;=1000)),"🟡 Bald fällig","🟢 OK")))</f>
        <v/>
      </c>
      <c r="N42" s="38" t="n"/>
    </row>
    <row r="43">
      <c r="A43" s="32" t="n"/>
      <c r="B43" s="32" t="n"/>
      <c r="C43" s="32" t="n"/>
      <c r="D43" s="32" t="n"/>
      <c r="E43" s="32" t="n"/>
      <c r="F43" s="32" t="n"/>
      <c r="G43" s="32" t="n"/>
      <c r="H43" s="48">
        <f>IFERROR(VLOOKUP(A43,F_Tabelle,10,FALSE),"")</f>
        <v/>
      </c>
      <c r="I43" s="49">
        <f>IF(OR(D43="",F43=""),"",IF(F43=0,"",EDATE(D43,F43)))</f>
        <v/>
      </c>
      <c r="J43" s="50">
        <f>IF(I43="","",I43-TODAY())</f>
        <v/>
      </c>
      <c r="K43" s="48">
        <f>IF(OR(E43="",G43=""),"",IF(G43=0,"",E43+G43))</f>
        <v/>
      </c>
      <c r="L43" s="48">
        <f>IF(OR(K43="",H43=""),"",K43-H43)</f>
        <v/>
      </c>
      <c r="M43" s="50">
        <f>IF(AND(J43="",L43=""),"",IF(OR(AND(J43&lt;&gt;"",J43&lt;0),AND(L43&lt;&gt;"",L43&lt;0)),"🔴 Überfällig",IF(OR(AND(J43&lt;&gt;"",J43&lt;=30),AND(L43&lt;&gt;"",L43&lt;=1000)),"🟡 Bald fällig","🟢 OK")))</f>
        <v/>
      </c>
      <c r="N43" s="40" t="n"/>
    </row>
    <row r="44">
      <c r="A44" s="34" t="n"/>
      <c r="B44" s="34" t="n"/>
      <c r="C44" s="34" t="n"/>
      <c r="D44" s="34" t="n"/>
      <c r="E44" s="34" t="n"/>
      <c r="F44" s="34" t="n"/>
      <c r="G44" s="34" t="n"/>
      <c r="H44" s="48">
        <f>IFERROR(VLOOKUP(A44,F_Tabelle,10,FALSE),"")</f>
        <v/>
      </c>
      <c r="I44" s="49">
        <f>IF(OR(D44="",F44=""),"",IF(F44=0,"",EDATE(D44,F44)))</f>
        <v/>
      </c>
      <c r="J44" s="50">
        <f>IF(I44="","",I44-TODAY())</f>
        <v/>
      </c>
      <c r="K44" s="48">
        <f>IF(OR(E44="",G44=""),"",IF(G44=0,"",E44+G44))</f>
        <v/>
      </c>
      <c r="L44" s="48">
        <f>IF(OR(K44="",H44=""),"",K44-H44)</f>
        <v/>
      </c>
      <c r="M44" s="50">
        <f>IF(AND(J44="",L44=""),"",IF(OR(AND(J44&lt;&gt;"",J44&lt;0),AND(L44&lt;&gt;"",L44&lt;0)),"🔴 Überfällig",IF(OR(AND(J44&lt;&gt;"",J44&lt;=30),AND(L44&lt;&gt;"",L44&lt;=1000)),"🟡 Bald fällig","🟢 OK")))</f>
        <v/>
      </c>
      <c r="N44" s="38" t="n"/>
    </row>
    <row r="45">
      <c r="A45" s="32" t="n"/>
      <c r="B45" s="32" t="n"/>
      <c r="C45" s="32" t="n"/>
      <c r="D45" s="32" t="n"/>
      <c r="E45" s="32" t="n"/>
      <c r="F45" s="32" t="n"/>
      <c r="G45" s="32" t="n"/>
      <c r="H45" s="48">
        <f>IFERROR(VLOOKUP(A45,F_Tabelle,10,FALSE),"")</f>
        <v/>
      </c>
      <c r="I45" s="49">
        <f>IF(OR(D45="",F45=""),"",IF(F45=0,"",EDATE(D45,F45)))</f>
        <v/>
      </c>
      <c r="J45" s="50">
        <f>IF(I45="","",I45-TODAY())</f>
        <v/>
      </c>
      <c r="K45" s="48">
        <f>IF(OR(E45="",G45=""),"",IF(G45=0,"",E45+G45))</f>
        <v/>
      </c>
      <c r="L45" s="48">
        <f>IF(OR(K45="",H45=""),"",K45-H45)</f>
        <v/>
      </c>
      <c r="M45" s="50">
        <f>IF(AND(J45="",L45=""),"",IF(OR(AND(J45&lt;&gt;"",J45&lt;0),AND(L45&lt;&gt;"",L45&lt;0)),"🔴 Überfällig",IF(OR(AND(J45&lt;&gt;"",J45&lt;=30),AND(L45&lt;&gt;"",L45&lt;=1000)),"🟡 Bald fällig","🟢 OK")))</f>
        <v/>
      </c>
      <c r="N45" s="40" t="n"/>
    </row>
    <row r="46">
      <c r="A46" s="34" t="n"/>
      <c r="B46" s="34" t="n"/>
      <c r="C46" s="34" t="n"/>
      <c r="D46" s="34" t="n"/>
      <c r="E46" s="34" t="n"/>
      <c r="F46" s="34" t="n"/>
      <c r="G46" s="34" t="n"/>
      <c r="H46" s="48">
        <f>IFERROR(VLOOKUP(A46,F_Tabelle,10,FALSE),"")</f>
        <v/>
      </c>
      <c r="I46" s="49">
        <f>IF(OR(D46="",F46=""),"",IF(F46=0,"",EDATE(D46,F46)))</f>
        <v/>
      </c>
      <c r="J46" s="50">
        <f>IF(I46="","",I46-TODAY())</f>
        <v/>
      </c>
      <c r="K46" s="48">
        <f>IF(OR(E46="",G46=""),"",IF(G46=0,"",E46+G46))</f>
        <v/>
      </c>
      <c r="L46" s="48">
        <f>IF(OR(K46="",H46=""),"",K46-H46)</f>
        <v/>
      </c>
      <c r="M46" s="50">
        <f>IF(AND(J46="",L46=""),"",IF(OR(AND(J46&lt;&gt;"",J46&lt;0),AND(L46&lt;&gt;"",L46&lt;0)),"🔴 Überfällig",IF(OR(AND(J46&lt;&gt;"",J46&lt;=30),AND(L46&lt;&gt;"",L46&lt;=1000)),"🟡 Bald fällig","🟢 OK")))</f>
        <v/>
      </c>
      <c r="N46" s="38" t="n"/>
    </row>
    <row r="47">
      <c r="A47" s="32" t="n"/>
      <c r="B47" s="32" t="n"/>
      <c r="C47" s="32" t="n"/>
      <c r="D47" s="32" t="n"/>
      <c r="E47" s="32" t="n"/>
      <c r="F47" s="32" t="n"/>
      <c r="G47" s="32" t="n"/>
      <c r="H47" s="48">
        <f>IFERROR(VLOOKUP(A47,F_Tabelle,10,FALSE),"")</f>
        <v/>
      </c>
      <c r="I47" s="49">
        <f>IF(OR(D47="",F47=""),"",IF(F47=0,"",EDATE(D47,F47)))</f>
        <v/>
      </c>
      <c r="J47" s="50">
        <f>IF(I47="","",I47-TODAY())</f>
        <v/>
      </c>
      <c r="K47" s="48">
        <f>IF(OR(E47="",G47=""),"",IF(G47=0,"",E47+G47))</f>
        <v/>
      </c>
      <c r="L47" s="48">
        <f>IF(OR(K47="",H47=""),"",K47-H47)</f>
        <v/>
      </c>
      <c r="M47" s="50">
        <f>IF(AND(J47="",L47=""),"",IF(OR(AND(J47&lt;&gt;"",J47&lt;0),AND(L47&lt;&gt;"",L47&lt;0)),"🔴 Überfällig",IF(OR(AND(J47&lt;&gt;"",J47&lt;=30),AND(L47&lt;&gt;"",L47&lt;=1000)),"🟡 Bald fällig","🟢 OK")))</f>
        <v/>
      </c>
      <c r="N47" s="40" t="n"/>
    </row>
    <row r="48">
      <c r="A48" s="34" t="n"/>
      <c r="B48" s="34" t="n"/>
      <c r="C48" s="34" t="n"/>
      <c r="D48" s="34" t="n"/>
      <c r="E48" s="34" t="n"/>
      <c r="F48" s="34" t="n"/>
      <c r="G48" s="34" t="n"/>
      <c r="H48" s="48">
        <f>IFERROR(VLOOKUP(A48,F_Tabelle,10,FALSE),"")</f>
        <v/>
      </c>
      <c r="I48" s="49">
        <f>IF(OR(D48="",F48=""),"",IF(F48=0,"",EDATE(D48,F48)))</f>
        <v/>
      </c>
      <c r="J48" s="50">
        <f>IF(I48="","",I48-TODAY())</f>
        <v/>
      </c>
      <c r="K48" s="48">
        <f>IF(OR(E48="",G48=""),"",IF(G48=0,"",E48+G48))</f>
        <v/>
      </c>
      <c r="L48" s="48">
        <f>IF(OR(K48="",H48=""),"",K48-H48)</f>
        <v/>
      </c>
      <c r="M48" s="50">
        <f>IF(AND(J48="",L48=""),"",IF(OR(AND(J48&lt;&gt;"",J48&lt;0),AND(L48&lt;&gt;"",L48&lt;0)),"🔴 Überfällig",IF(OR(AND(J48&lt;&gt;"",J48&lt;=30),AND(L48&lt;&gt;"",L48&lt;=1000)),"🟡 Bald fällig","🟢 OK")))</f>
        <v/>
      </c>
      <c r="N48" s="38" t="n"/>
    </row>
    <row r="49">
      <c r="A49" s="32" t="n"/>
      <c r="B49" s="32" t="n"/>
      <c r="C49" s="32" t="n"/>
      <c r="D49" s="32" t="n"/>
      <c r="E49" s="32" t="n"/>
      <c r="F49" s="32" t="n"/>
      <c r="G49" s="32" t="n"/>
      <c r="H49" s="48">
        <f>IFERROR(VLOOKUP(A49,F_Tabelle,10,FALSE),"")</f>
        <v/>
      </c>
      <c r="I49" s="49">
        <f>IF(OR(D49="",F49=""),"",IF(F49=0,"",EDATE(D49,F49)))</f>
        <v/>
      </c>
      <c r="J49" s="50">
        <f>IF(I49="","",I49-TODAY())</f>
        <v/>
      </c>
      <c r="K49" s="48">
        <f>IF(OR(E49="",G49=""),"",IF(G49=0,"",E49+G49))</f>
        <v/>
      </c>
      <c r="L49" s="48">
        <f>IF(OR(K49="",H49=""),"",K49-H49)</f>
        <v/>
      </c>
      <c r="M49" s="50">
        <f>IF(AND(J49="",L49=""),"",IF(OR(AND(J49&lt;&gt;"",J49&lt;0),AND(L49&lt;&gt;"",L49&lt;0)),"🔴 Überfällig",IF(OR(AND(J49&lt;&gt;"",J49&lt;=30),AND(L49&lt;&gt;"",L49&lt;=1000)),"🟡 Bald fällig","🟢 OK")))</f>
        <v/>
      </c>
      <c r="N49" s="40" t="n"/>
    </row>
    <row r="50">
      <c r="A50" s="34" t="n"/>
      <c r="B50" s="34" t="n"/>
      <c r="C50" s="34" t="n"/>
      <c r="D50" s="34" t="n"/>
      <c r="E50" s="34" t="n"/>
      <c r="F50" s="34" t="n"/>
      <c r="G50" s="34" t="n"/>
      <c r="H50" s="48">
        <f>IFERROR(VLOOKUP(A50,F_Tabelle,10,FALSE),"")</f>
        <v/>
      </c>
      <c r="I50" s="49">
        <f>IF(OR(D50="",F50=""),"",IF(F50=0,"",EDATE(D50,F50)))</f>
        <v/>
      </c>
      <c r="J50" s="50">
        <f>IF(I50="","",I50-TODAY())</f>
        <v/>
      </c>
      <c r="K50" s="48">
        <f>IF(OR(E50="",G50=""),"",IF(G50=0,"",E50+G50))</f>
        <v/>
      </c>
      <c r="L50" s="48">
        <f>IF(OR(K50="",H50=""),"",K50-H50)</f>
        <v/>
      </c>
      <c r="M50" s="50">
        <f>IF(AND(J50="",L50=""),"",IF(OR(AND(J50&lt;&gt;"",J50&lt;0),AND(L50&lt;&gt;"",L50&lt;0)),"🔴 Überfällig",IF(OR(AND(J50&lt;&gt;"",J50&lt;=30),AND(L50&lt;&gt;"",L50&lt;=1000)),"🟡 Bald fällig","🟢 OK")))</f>
        <v/>
      </c>
      <c r="N50" s="38" t="n"/>
    </row>
    <row r="51">
      <c r="A51" s="32" t="n"/>
      <c r="B51" s="32" t="n"/>
      <c r="C51" s="32" t="n"/>
      <c r="D51" s="32" t="n"/>
      <c r="E51" s="32" t="n"/>
      <c r="F51" s="32" t="n"/>
      <c r="G51" s="32" t="n"/>
      <c r="H51" s="48">
        <f>IFERROR(VLOOKUP(A51,F_Tabelle,10,FALSE),"")</f>
        <v/>
      </c>
      <c r="I51" s="49">
        <f>IF(OR(D51="",F51=""),"",IF(F51=0,"",EDATE(D51,F51)))</f>
        <v/>
      </c>
      <c r="J51" s="50">
        <f>IF(I51="","",I51-TODAY())</f>
        <v/>
      </c>
      <c r="K51" s="48">
        <f>IF(OR(E51="",G51=""),"",IF(G51=0,"",E51+G51))</f>
        <v/>
      </c>
      <c r="L51" s="48">
        <f>IF(OR(K51="",H51=""),"",K51-H51)</f>
        <v/>
      </c>
      <c r="M51" s="50">
        <f>IF(AND(J51="",L51=""),"",IF(OR(AND(J51&lt;&gt;"",J51&lt;0),AND(L51&lt;&gt;"",L51&lt;0)),"🔴 Überfällig",IF(OR(AND(J51&lt;&gt;"",J51&lt;=30),AND(L51&lt;&gt;"",L51&lt;=1000)),"🟡 Bald fällig","🟢 OK")))</f>
        <v/>
      </c>
      <c r="N51" s="40" t="n"/>
    </row>
    <row r="52">
      <c r="A52" s="34" t="n"/>
      <c r="B52" s="34" t="n"/>
      <c r="C52" s="34" t="n"/>
      <c r="D52" s="34" t="n"/>
      <c r="E52" s="34" t="n"/>
      <c r="F52" s="34" t="n"/>
      <c r="G52" s="34" t="n"/>
      <c r="H52" s="48">
        <f>IFERROR(VLOOKUP(A52,F_Tabelle,10,FALSE),"")</f>
        <v/>
      </c>
      <c r="I52" s="49">
        <f>IF(OR(D52="",F52=""),"",IF(F52=0,"",EDATE(D52,F52)))</f>
        <v/>
      </c>
      <c r="J52" s="50">
        <f>IF(I52="","",I52-TODAY())</f>
        <v/>
      </c>
      <c r="K52" s="48">
        <f>IF(OR(E52="",G52=""),"",IF(G52=0,"",E52+G52))</f>
        <v/>
      </c>
      <c r="L52" s="48">
        <f>IF(OR(K52="",H52=""),"",K52-H52)</f>
        <v/>
      </c>
      <c r="M52" s="50">
        <f>IF(AND(J52="",L52=""),"",IF(OR(AND(J52&lt;&gt;"",J52&lt;0),AND(L52&lt;&gt;"",L52&lt;0)),"🔴 Überfällig",IF(OR(AND(J52&lt;&gt;"",J52&lt;=30),AND(L52&lt;&gt;"",L52&lt;=1000)),"🟡 Bald fällig","🟢 OK")))</f>
        <v/>
      </c>
      <c r="N52" s="38" t="n"/>
    </row>
    <row r="53">
      <c r="A53" s="32" t="n"/>
      <c r="B53" s="32" t="n"/>
      <c r="C53" s="32" t="n"/>
      <c r="D53" s="32" t="n"/>
      <c r="E53" s="32" t="n"/>
      <c r="F53" s="32" t="n"/>
      <c r="G53" s="32" t="n"/>
      <c r="H53" s="48">
        <f>IFERROR(VLOOKUP(A53,F_Tabelle,10,FALSE),"")</f>
        <v/>
      </c>
      <c r="I53" s="49">
        <f>IF(OR(D53="",F53=""),"",IF(F53=0,"",EDATE(D53,F53)))</f>
        <v/>
      </c>
      <c r="J53" s="50">
        <f>IF(I53="","",I53-TODAY())</f>
        <v/>
      </c>
      <c r="K53" s="48">
        <f>IF(OR(E53="",G53=""),"",IF(G53=0,"",E53+G53))</f>
        <v/>
      </c>
      <c r="L53" s="48">
        <f>IF(OR(K53="",H53=""),"",K53-H53)</f>
        <v/>
      </c>
      <c r="M53" s="50">
        <f>IF(AND(J53="",L53=""),"",IF(OR(AND(J53&lt;&gt;"",J53&lt;0),AND(L53&lt;&gt;"",L53&lt;0)),"🔴 Überfällig",IF(OR(AND(J53&lt;&gt;"",J53&lt;=30),AND(L53&lt;&gt;"",L53&lt;=1000)),"🟡 Bald fällig","🟢 OK")))</f>
        <v/>
      </c>
      <c r="N53" s="40" t="n"/>
    </row>
    <row r="54">
      <c r="A54" s="34" t="n"/>
      <c r="B54" s="34" t="n"/>
      <c r="C54" s="34" t="n"/>
      <c r="D54" s="34" t="n"/>
      <c r="E54" s="34" t="n"/>
      <c r="F54" s="34" t="n"/>
      <c r="G54" s="34" t="n"/>
      <c r="H54" s="48">
        <f>IFERROR(VLOOKUP(A54,F_Tabelle,10,FALSE),"")</f>
        <v/>
      </c>
      <c r="I54" s="49">
        <f>IF(OR(D54="",F54=""),"",IF(F54=0,"",EDATE(D54,F54)))</f>
        <v/>
      </c>
      <c r="J54" s="50">
        <f>IF(I54="","",I54-TODAY())</f>
        <v/>
      </c>
      <c r="K54" s="48">
        <f>IF(OR(E54="",G54=""),"",IF(G54=0,"",E54+G54))</f>
        <v/>
      </c>
      <c r="L54" s="48">
        <f>IF(OR(K54="",H54=""),"",K54-H54)</f>
        <v/>
      </c>
      <c r="M54" s="50">
        <f>IF(AND(J54="",L54=""),"",IF(OR(AND(J54&lt;&gt;"",J54&lt;0),AND(L54&lt;&gt;"",L54&lt;0)),"🔴 Überfällig",IF(OR(AND(J54&lt;&gt;"",J54&lt;=30),AND(L54&lt;&gt;"",L54&lt;=1000)),"🟡 Bald fällig","🟢 OK")))</f>
        <v/>
      </c>
      <c r="N54" s="38" t="n"/>
    </row>
    <row r="55">
      <c r="A55" s="32" t="n"/>
      <c r="B55" s="32" t="n"/>
      <c r="C55" s="32" t="n"/>
      <c r="D55" s="32" t="n"/>
      <c r="E55" s="32" t="n"/>
      <c r="F55" s="32" t="n"/>
      <c r="G55" s="32" t="n"/>
      <c r="H55" s="48">
        <f>IFERROR(VLOOKUP(A55,F_Tabelle,10,FALSE),"")</f>
        <v/>
      </c>
      <c r="I55" s="49">
        <f>IF(OR(D55="",F55=""),"",IF(F55=0,"",EDATE(D55,F55)))</f>
        <v/>
      </c>
      <c r="J55" s="50">
        <f>IF(I55="","",I55-TODAY())</f>
        <v/>
      </c>
      <c r="K55" s="48">
        <f>IF(OR(E55="",G55=""),"",IF(G55=0,"",E55+G55))</f>
        <v/>
      </c>
      <c r="L55" s="48">
        <f>IF(OR(K55="",H55=""),"",K55-H55)</f>
        <v/>
      </c>
      <c r="M55" s="50">
        <f>IF(AND(J55="",L55=""),"",IF(OR(AND(J55&lt;&gt;"",J55&lt;0),AND(L55&lt;&gt;"",L55&lt;0)),"🔴 Überfällig",IF(OR(AND(J55&lt;&gt;"",J55&lt;=30),AND(L55&lt;&gt;"",L55&lt;=1000)),"🟡 Bald fällig","🟢 OK")))</f>
        <v/>
      </c>
      <c r="N55" s="40" t="n"/>
    </row>
    <row r="56">
      <c r="A56" s="34" t="n"/>
      <c r="B56" s="34" t="n"/>
      <c r="C56" s="34" t="n"/>
      <c r="D56" s="34" t="n"/>
      <c r="E56" s="34" t="n"/>
      <c r="F56" s="34" t="n"/>
      <c r="G56" s="34" t="n"/>
      <c r="H56" s="48">
        <f>IFERROR(VLOOKUP(A56,F_Tabelle,10,FALSE),"")</f>
        <v/>
      </c>
      <c r="I56" s="49">
        <f>IF(OR(D56="",F56=""),"",IF(F56=0,"",EDATE(D56,F56)))</f>
        <v/>
      </c>
      <c r="J56" s="50">
        <f>IF(I56="","",I56-TODAY())</f>
        <v/>
      </c>
      <c r="K56" s="48">
        <f>IF(OR(E56="",G56=""),"",IF(G56=0,"",E56+G56))</f>
        <v/>
      </c>
      <c r="L56" s="48">
        <f>IF(OR(K56="",H56=""),"",K56-H56)</f>
        <v/>
      </c>
      <c r="M56" s="50">
        <f>IF(AND(J56="",L56=""),"",IF(OR(AND(J56&lt;&gt;"",J56&lt;0),AND(L56&lt;&gt;"",L56&lt;0)),"🔴 Überfällig",IF(OR(AND(J56&lt;&gt;"",J56&lt;=30),AND(L56&lt;&gt;"",L56&lt;=1000)),"🟡 Bald fällig","🟢 OK")))</f>
        <v/>
      </c>
      <c r="N56" s="38" t="n"/>
    </row>
    <row r="57">
      <c r="A57" s="32" t="n"/>
      <c r="B57" s="32" t="n"/>
      <c r="C57" s="32" t="n"/>
      <c r="D57" s="32" t="n"/>
      <c r="E57" s="32" t="n"/>
      <c r="F57" s="32" t="n"/>
      <c r="G57" s="32" t="n"/>
      <c r="H57" s="48">
        <f>IFERROR(VLOOKUP(A57,F_Tabelle,10,FALSE),"")</f>
        <v/>
      </c>
      <c r="I57" s="49">
        <f>IF(OR(D57="",F57=""),"",IF(F57=0,"",EDATE(D57,F57)))</f>
        <v/>
      </c>
      <c r="J57" s="50">
        <f>IF(I57="","",I57-TODAY())</f>
        <v/>
      </c>
      <c r="K57" s="48">
        <f>IF(OR(E57="",G57=""),"",IF(G57=0,"",E57+G57))</f>
        <v/>
      </c>
      <c r="L57" s="48">
        <f>IF(OR(K57="",H57=""),"",K57-H57)</f>
        <v/>
      </c>
      <c r="M57" s="50">
        <f>IF(AND(J57="",L57=""),"",IF(OR(AND(J57&lt;&gt;"",J57&lt;0),AND(L57&lt;&gt;"",L57&lt;0)),"🔴 Überfällig",IF(OR(AND(J57&lt;&gt;"",J57&lt;=30),AND(L57&lt;&gt;"",L57&lt;=1000)),"🟡 Bald fällig","🟢 OK")))</f>
        <v/>
      </c>
      <c r="N57" s="40" t="n"/>
    </row>
    <row r="58">
      <c r="A58" s="34" t="n"/>
      <c r="B58" s="34" t="n"/>
      <c r="C58" s="34" t="n"/>
      <c r="D58" s="34" t="n"/>
      <c r="E58" s="34" t="n"/>
      <c r="F58" s="34" t="n"/>
      <c r="G58" s="34" t="n"/>
      <c r="H58" s="48">
        <f>IFERROR(VLOOKUP(A58,F_Tabelle,10,FALSE),"")</f>
        <v/>
      </c>
      <c r="I58" s="49">
        <f>IF(OR(D58="",F58=""),"",IF(F58=0,"",EDATE(D58,F58)))</f>
        <v/>
      </c>
      <c r="J58" s="50">
        <f>IF(I58="","",I58-TODAY())</f>
        <v/>
      </c>
      <c r="K58" s="48">
        <f>IF(OR(E58="",G58=""),"",IF(G58=0,"",E58+G58))</f>
        <v/>
      </c>
      <c r="L58" s="48">
        <f>IF(OR(K58="",H58=""),"",K58-H58)</f>
        <v/>
      </c>
      <c r="M58" s="50">
        <f>IF(AND(J58="",L58=""),"",IF(OR(AND(J58&lt;&gt;"",J58&lt;0),AND(L58&lt;&gt;"",L58&lt;0)),"🔴 Überfällig",IF(OR(AND(J58&lt;&gt;"",J58&lt;=30),AND(L58&lt;&gt;"",L58&lt;=1000)),"🟡 Bald fällig","🟢 OK")))</f>
        <v/>
      </c>
      <c r="N58" s="38" t="n"/>
    </row>
    <row r="59">
      <c r="A59" s="32" t="n"/>
      <c r="B59" s="32" t="n"/>
      <c r="C59" s="32" t="n"/>
      <c r="D59" s="32" t="n"/>
      <c r="E59" s="32" t="n"/>
      <c r="F59" s="32" t="n"/>
      <c r="G59" s="32" t="n"/>
      <c r="H59" s="48">
        <f>IFERROR(VLOOKUP(A59,F_Tabelle,10,FALSE),"")</f>
        <v/>
      </c>
      <c r="I59" s="49">
        <f>IF(OR(D59="",F59=""),"",IF(F59=0,"",EDATE(D59,F59)))</f>
        <v/>
      </c>
      <c r="J59" s="50">
        <f>IF(I59="","",I59-TODAY())</f>
        <v/>
      </c>
      <c r="K59" s="48">
        <f>IF(OR(E59="",G59=""),"",IF(G59=0,"",E59+G59))</f>
        <v/>
      </c>
      <c r="L59" s="48">
        <f>IF(OR(K59="",H59=""),"",K59-H59)</f>
        <v/>
      </c>
      <c r="M59" s="50">
        <f>IF(AND(J59="",L59=""),"",IF(OR(AND(J59&lt;&gt;"",J59&lt;0),AND(L59&lt;&gt;"",L59&lt;0)),"🔴 Überfällig",IF(OR(AND(J59&lt;&gt;"",J59&lt;=30),AND(L59&lt;&gt;"",L59&lt;=1000)),"🟡 Bald fällig","🟢 OK")))</f>
        <v/>
      </c>
      <c r="N59" s="40" t="n"/>
    </row>
    <row r="60">
      <c r="A60" s="34" t="n"/>
      <c r="B60" s="34" t="n"/>
      <c r="C60" s="34" t="n"/>
      <c r="D60" s="34" t="n"/>
      <c r="E60" s="34" t="n"/>
      <c r="F60" s="34" t="n"/>
      <c r="G60" s="34" t="n"/>
      <c r="H60" s="48">
        <f>IFERROR(VLOOKUP(A60,F_Tabelle,10,FALSE),"")</f>
        <v/>
      </c>
      <c r="I60" s="49">
        <f>IF(OR(D60="",F60=""),"",IF(F60=0,"",EDATE(D60,F60)))</f>
        <v/>
      </c>
      <c r="J60" s="50">
        <f>IF(I60="","",I60-TODAY())</f>
        <v/>
      </c>
      <c r="K60" s="48">
        <f>IF(OR(E60="",G60=""),"",IF(G60=0,"",E60+G60))</f>
        <v/>
      </c>
      <c r="L60" s="48">
        <f>IF(OR(K60="",H60=""),"",K60-H60)</f>
        <v/>
      </c>
      <c r="M60" s="50">
        <f>IF(AND(J60="",L60=""),"",IF(OR(AND(J60&lt;&gt;"",J60&lt;0),AND(L60&lt;&gt;"",L60&lt;0)),"🔴 Überfällig",IF(OR(AND(J60&lt;&gt;"",J60&lt;=30),AND(L60&lt;&gt;"",L60&lt;=1000)),"🟡 Bald fällig","🟢 OK")))</f>
        <v/>
      </c>
      <c r="N60" s="38" t="n"/>
    </row>
    <row r="61">
      <c r="A61" s="32" t="n"/>
      <c r="B61" s="32" t="n"/>
      <c r="C61" s="32" t="n"/>
      <c r="D61" s="32" t="n"/>
      <c r="E61" s="32" t="n"/>
      <c r="F61" s="32" t="n"/>
      <c r="G61" s="32" t="n"/>
      <c r="H61" s="48">
        <f>IFERROR(VLOOKUP(A61,F_Tabelle,10,FALSE),"")</f>
        <v/>
      </c>
      <c r="I61" s="49">
        <f>IF(OR(D61="",F61=""),"",IF(F61=0,"",EDATE(D61,F61)))</f>
        <v/>
      </c>
      <c r="J61" s="50">
        <f>IF(I61="","",I61-TODAY())</f>
        <v/>
      </c>
      <c r="K61" s="48">
        <f>IF(OR(E61="",G61=""),"",IF(G61=0,"",E61+G61))</f>
        <v/>
      </c>
      <c r="L61" s="48">
        <f>IF(OR(K61="",H61=""),"",K61-H61)</f>
        <v/>
      </c>
      <c r="M61" s="50">
        <f>IF(AND(J61="",L61=""),"",IF(OR(AND(J61&lt;&gt;"",J61&lt;0),AND(L61&lt;&gt;"",L61&lt;0)),"🔴 Überfällig",IF(OR(AND(J61&lt;&gt;"",J61&lt;=30),AND(L61&lt;&gt;"",L61&lt;=1000)),"🟡 Bald fällig","🟢 OK")))</f>
        <v/>
      </c>
      <c r="N61" s="40" t="n"/>
    </row>
    <row r="62">
      <c r="A62" s="34" t="n"/>
      <c r="B62" s="34" t="n"/>
      <c r="C62" s="34" t="n"/>
      <c r="D62" s="34" t="n"/>
      <c r="E62" s="34" t="n"/>
      <c r="F62" s="34" t="n"/>
      <c r="G62" s="34" t="n"/>
      <c r="H62" s="48">
        <f>IFERROR(VLOOKUP(A62,F_Tabelle,10,FALSE),"")</f>
        <v/>
      </c>
      <c r="I62" s="49">
        <f>IF(OR(D62="",F62=""),"",IF(F62=0,"",EDATE(D62,F62)))</f>
        <v/>
      </c>
      <c r="J62" s="50">
        <f>IF(I62="","",I62-TODAY())</f>
        <v/>
      </c>
      <c r="K62" s="48">
        <f>IF(OR(E62="",G62=""),"",IF(G62=0,"",E62+G62))</f>
        <v/>
      </c>
      <c r="L62" s="48">
        <f>IF(OR(K62="",H62=""),"",K62-H62)</f>
        <v/>
      </c>
      <c r="M62" s="50">
        <f>IF(AND(J62="",L62=""),"",IF(OR(AND(J62&lt;&gt;"",J62&lt;0),AND(L62&lt;&gt;"",L62&lt;0)),"🔴 Überfällig",IF(OR(AND(J62&lt;&gt;"",J62&lt;=30),AND(L62&lt;&gt;"",L62&lt;=1000)),"🟡 Bald fällig","🟢 OK")))</f>
        <v/>
      </c>
      <c r="N62" s="38" t="n"/>
    </row>
    <row r="63">
      <c r="A63" s="32" t="n"/>
      <c r="B63" s="32" t="n"/>
      <c r="C63" s="32" t="n"/>
      <c r="D63" s="32" t="n"/>
      <c r="E63" s="32" t="n"/>
      <c r="F63" s="32" t="n"/>
      <c r="G63" s="32" t="n"/>
      <c r="H63" s="48">
        <f>IFERROR(VLOOKUP(A63,F_Tabelle,10,FALSE),"")</f>
        <v/>
      </c>
      <c r="I63" s="49">
        <f>IF(OR(D63="",F63=""),"",IF(F63=0,"",EDATE(D63,F63)))</f>
        <v/>
      </c>
      <c r="J63" s="50">
        <f>IF(I63="","",I63-TODAY())</f>
        <v/>
      </c>
      <c r="K63" s="48">
        <f>IF(OR(E63="",G63=""),"",IF(G63=0,"",E63+G63))</f>
        <v/>
      </c>
      <c r="L63" s="48">
        <f>IF(OR(K63="",H63=""),"",K63-H63)</f>
        <v/>
      </c>
      <c r="M63" s="50">
        <f>IF(AND(J63="",L63=""),"",IF(OR(AND(J63&lt;&gt;"",J63&lt;0),AND(L63&lt;&gt;"",L63&lt;0)),"🔴 Überfällig",IF(OR(AND(J63&lt;&gt;"",J63&lt;=30),AND(L63&lt;&gt;"",L63&lt;=1000)),"🟡 Bald fällig","🟢 OK")))</f>
        <v/>
      </c>
      <c r="N63" s="40" t="n"/>
    </row>
    <row r="64">
      <c r="A64" s="34" t="n"/>
      <c r="B64" s="34" t="n"/>
      <c r="C64" s="34" t="n"/>
      <c r="D64" s="34" t="n"/>
      <c r="E64" s="34" t="n"/>
      <c r="F64" s="34" t="n"/>
      <c r="G64" s="34" t="n"/>
      <c r="H64" s="48">
        <f>IFERROR(VLOOKUP(A64,F_Tabelle,10,FALSE),"")</f>
        <v/>
      </c>
      <c r="I64" s="49">
        <f>IF(OR(D64="",F64=""),"",IF(F64=0,"",EDATE(D64,F64)))</f>
        <v/>
      </c>
      <c r="J64" s="50">
        <f>IF(I64="","",I64-TODAY())</f>
        <v/>
      </c>
      <c r="K64" s="48">
        <f>IF(OR(E64="",G64=""),"",IF(G64=0,"",E64+G64))</f>
        <v/>
      </c>
      <c r="L64" s="48">
        <f>IF(OR(K64="",H64=""),"",K64-H64)</f>
        <v/>
      </c>
      <c r="M64" s="50">
        <f>IF(AND(J64="",L64=""),"",IF(OR(AND(J64&lt;&gt;"",J64&lt;0),AND(L64&lt;&gt;"",L64&lt;0)),"🔴 Überfällig",IF(OR(AND(J64&lt;&gt;"",J64&lt;=30),AND(L64&lt;&gt;"",L64&lt;=1000)),"🟡 Bald fällig","🟢 OK")))</f>
        <v/>
      </c>
      <c r="N64" s="38" t="n"/>
    </row>
    <row r="65">
      <c r="A65" s="32" t="n"/>
      <c r="B65" s="32" t="n"/>
      <c r="C65" s="32" t="n"/>
      <c r="D65" s="32" t="n"/>
      <c r="E65" s="32" t="n"/>
      <c r="F65" s="32" t="n"/>
      <c r="G65" s="32" t="n"/>
      <c r="H65" s="48">
        <f>IFERROR(VLOOKUP(A65,F_Tabelle,10,FALSE),"")</f>
        <v/>
      </c>
      <c r="I65" s="49">
        <f>IF(OR(D65="",F65=""),"",IF(F65=0,"",EDATE(D65,F65)))</f>
        <v/>
      </c>
      <c r="J65" s="50">
        <f>IF(I65="","",I65-TODAY())</f>
        <v/>
      </c>
      <c r="K65" s="48">
        <f>IF(OR(E65="",G65=""),"",IF(G65=0,"",E65+G65))</f>
        <v/>
      </c>
      <c r="L65" s="48">
        <f>IF(OR(K65="",H65=""),"",K65-H65)</f>
        <v/>
      </c>
      <c r="M65" s="50">
        <f>IF(AND(J65="",L65=""),"",IF(OR(AND(J65&lt;&gt;"",J65&lt;0),AND(L65&lt;&gt;"",L65&lt;0)),"🔴 Überfällig",IF(OR(AND(J65&lt;&gt;"",J65&lt;=30),AND(L65&lt;&gt;"",L65&lt;=1000)),"🟡 Bald fällig","🟢 OK")))</f>
        <v/>
      </c>
      <c r="N65" s="40" t="n"/>
    </row>
    <row r="66">
      <c r="A66" s="34" t="n"/>
      <c r="B66" s="34" t="n"/>
      <c r="C66" s="34" t="n"/>
      <c r="D66" s="34" t="n"/>
      <c r="E66" s="34" t="n"/>
      <c r="F66" s="34" t="n"/>
      <c r="G66" s="34" t="n"/>
      <c r="H66" s="48">
        <f>IFERROR(VLOOKUP(A66,F_Tabelle,10,FALSE),"")</f>
        <v/>
      </c>
      <c r="I66" s="49">
        <f>IF(OR(D66="",F66=""),"",IF(F66=0,"",EDATE(D66,F66)))</f>
        <v/>
      </c>
      <c r="J66" s="50">
        <f>IF(I66="","",I66-TODAY())</f>
        <v/>
      </c>
      <c r="K66" s="48">
        <f>IF(OR(E66="",G66=""),"",IF(G66=0,"",E66+G66))</f>
        <v/>
      </c>
      <c r="L66" s="48">
        <f>IF(OR(K66="",H66=""),"",K66-H66)</f>
        <v/>
      </c>
      <c r="M66" s="50">
        <f>IF(AND(J66="",L66=""),"",IF(OR(AND(J66&lt;&gt;"",J66&lt;0),AND(L66&lt;&gt;"",L66&lt;0)),"🔴 Überfällig",IF(OR(AND(J66&lt;&gt;"",J66&lt;=30),AND(L66&lt;&gt;"",L66&lt;=1000)),"🟡 Bald fällig","🟢 OK")))</f>
        <v/>
      </c>
      <c r="N66" s="38" t="n"/>
    </row>
    <row r="67">
      <c r="A67" s="32" t="n"/>
      <c r="B67" s="32" t="n"/>
      <c r="C67" s="32" t="n"/>
      <c r="D67" s="32" t="n"/>
      <c r="E67" s="32" t="n"/>
      <c r="F67" s="32" t="n"/>
      <c r="G67" s="32" t="n"/>
      <c r="H67" s="48">
        <f>IFERROR(VLOOKUP(A67,F_Tabelle,10,FALSE),"")</f>
        <v/>
      </c>
      <c r="I67" s="49">
        <f>IF(OR(D67="",F67=""),"",IF(F67=0,"",EDATE(D67,F67)))</f>
        <v/>
      </c>
      <c r="J67" s="50">
        <f>IF(I67="","",I67-TODAY())</f>
        <v/>
      </c>
      <c r="K67" s="48">
        <f>IF(OR(E67="",G67=""),"",IF(G67=0,"",E67+G67))</f>
        <v/>
      </c>
      <c r="L67" s="48">
        <f>IF(OR(K67="",H67=""),"",K67-H67)</f>
        <v/>
      </c>
      <c r="M67" s="50">
        <f>IF(AND(J67="",L67=""),"",IF(OR(AND(J67&lt;&gt;"",J67&lt;0),AND(L67&lt;&gt;"",L67&lt;0)),"🔴 Überfällig",IF(OR(AND(J67&lt;&gt;"",J67&lt;=30),AND(L67&lt;&gt;"",L67&lt;=1000)),"🟡 Bald fällig","🟢 OK")))</f>
        <v/>
      </c>
      <c r="N67" s="40" t="n"/>
    </row>
    <row r="68">
      <c r="A68" s="34" t="n"/>
      <c r="B68" s="34" t="n"/>
      <c r="C68" s="34" t="n"/>
      <c r="D68" s="34" t="n"/>
      <c r="E68" s="34" t="n"/>
      <c r="F68" s="34" t="n"/>
      <c r="G68" s="34" t="n"/>
      <c r="H68" s="48">
        <f>IFERROR(VLOOKUP(A68,F_Tabelle,10,FALSE),"")</f>
        <v/>
      </c>
      <c r="I68" s="49">
        <f>IF(OR(D68="",F68=""),"",IF(F68=0,"",EDATE(D68,F68)))</f>
        <v/>
      </c>
      <c r="J68" s="50">
        <f>IF(I68="","",I68-TODAY())</f>
        <v/>
      </c>
      <c r="K68" s="48">
        <f>IF(OR(E68="",G68=""),"",IF(G68=0,"",E68+G68))</f>
        <v/>
      </c>
      <c r="L68" s="48">
        <f>IF(OR(K68="",H68=""),"",K68-H68)</f>
        <v/>
      </c>
      <c r="M68" s="50">
        <f>IF(AND(J68="",L68=""),"",IF(OR(AND(J68&lt;&gt;"",J68&lt;0),AND(L68&lt;&gt;"",L68&lt;0)),"🔴 Überfällig",IF(OR(AND(J68&lt;&gt;"",J68&lt;=30),AND(L68&lt;&gt;"",L68&lt;=1000)),"🟡 Bald fällig","🟢 OK")))</f>
        <v/>
      </c>
      <c r="N68" s="38" t="n"/>
    </row>
    <row r="69">
      <c r="A69" s="32" t="n"/>
      <c r="B69" s="32" t="n"/>
      <c r="C69" s="32" t="n"/>
      <c r="D69" s="32" t="n"/>
      <c r="E69" s="32" t="n"/>
      <c r="F69" s="32" t="n"/>
      <c r="G69" s="32" t="n"/>
      <c r="H69" s="48">
        <f>IFERROR(VLOOKUP(A69,F_Tabelle,10,FALSE),"")</f>
        <v/>
      </c>
      <c r="I69" s="49">
        <f>IF(OR(D69="",F69=""),"",IF(F69=0,"",EDATE(D69,F69)))</f>
        <v/>
      </c>
      <c r="J69" s="50">
        <f>IF(I69="","",I69-TODAY())</f>
        <v/>
      </c>
      <c r="K69" s="48">
        <f>IF(OR(E69="",G69=""),"",IF(G69=0,"",E69+G69))</f>
        <v/>
      </c>
      <c r="L69" s="48">
        <f>IF(OR(K69="",H69=""),"",K69-H69)</f>
        <v/>
      </c>
      <c r="M69" s="50">
        <f>IF(AND(J69="",L69=""),"",IF(OR(AND(J69&lt;&gt;"",J69&lt;0),AND(L69&lt;&gt;"",L69&lt;0)),"🔴 Überfällig",IF(OR(AND(J69&lt;&gt;"",J69&lt;=30),AND(L69&lt;&gt;"",L69&lt;=1000)),"🟡 Bald fällig","🟢 OK")))</f>
        <v/>
      </c>
      <c r="N69" s="40" t="n"/>
    </row>
    <row r="70">
      <c r="A70" s="34" t="n"/>
      <c r="B70" s="34" t="n"/>
      <c r="C70" s="34" t="n"/>
      <c r="D70" s="34" t="n"/>
      <c r="E70" s="34" t="n"/>
      <c r="F70" s="34" t="n"/>
      <c r="G70" s="34" t="n"/>
      <c r="H70" s="48">
        <f>IFERROR(VLOOKUP(A70,F_Tabelle,10,FALSE),"")</f>
        <v/>
      </c>
      <c r="I70" s="49">
        <f>IF(OR(D70="",F70=""),"",IF(F70=0,"",EDATE(D70,F70)))</f>
        <v/>
      </c>
      <c r="J70" s="50">
        <f>IF(I70="","",I70-TODAY())</f>
        <v/>
      </c>
      <c r="K70" s="48">
        <f>IF(OR(E70="",G70=""),"",IF(G70=0,"",E70+G70))</f>
        <v/>
      </c>
      <c r="L70" s="48">
        <f>IF(OR(K70="",H70=""),"",K70-H70)</f>
        <v/>
      </c>
      <c r="M70" s="50">
        <f>IF(AND(J70="",L70=""),"",IF(OR(AND(J70&lt;&gt;"",J70&lt;0),AND(L70&lt;&gt;"",L70&lt;0)),"🔴 Überfällig",IF(OR(AND(J70&lt;&gt;"",J70&lt;=30),AND(L70&lt;&gt;"",L70&lt;=1000)),"🟡 Bald fällig","🟢 OK")))</f>
        <v/>
      </c>
      <c r="N70" s="38" t="n"/>
    </row>
    <row r="71">
      <c r="A71" s="32" t="n"/>
      <c r="B71" s="32" t="n"/>
      <c r="C71" s="32" t="n"/>
      <c r="D71" s="32" t="n"/>
      <c r="E71" s="32" t="n"/>
      <c r="F71" s="32" t="n"/>
      <c r="G71" s="32" t="n"/>
      <c r="H71" s="48">
        <f>IFERROR(VLOOKUP(A71,F_Tabelle,10,FALSE),"")</f>
        <v/>
      </c>
      <c r="I71" s="49">
        <f>IF(OR(D71="",F71=""),"",IF(F71=0,"",EDATE(D71,F71)))</f>
        <v/>
      </c>
      <c r="J71" s="50">
        <f>IF(I71="","",I71-TODAY())</f>
        <v/>
      </c>
      <c r="K71" s="48">
        <f>IF(OR(E71="",G71=""),"",IF(G71=0,"",E71+G71))</f>
        <v/>
      </c>
      <c r="L71" s="48">
        <f>IF(OR(K71="",H71=""),"",K71-H71)</f>
        <v/>
      </c>
      <c r="M71" s="50">
        <f>IF(AND(J71="",L71=""),"",IF(OR(AND(J71&lt;&gt;"",J71&lt;0),AND(L71&lt;&gt;"",L71&lt;0)),"🔴 Überfällig",IF(OR(AND(J71&lt;&gt;"",J71&lt;=30),AND(L71&lt;&gt;"",L71&lt;=1000)),"🟡 Bald fällig","🟢 OK")))</f>
        <v/>
      </c>
      <c r="N71" s="40" t="n"/>
    </row>
    <row r="72">
      <c r="A72" s="34" t="n"/>
      <c r="B72" s="34" t="n"/>
      <c r="C72" s="34" t="n"/>
      <c r="D72" s="34" t="n"/>
      <c r="E72" s="34" t="n"/>
      <c r="F72" s="34" t="n"/>
      <c r="G72" s="34" t="n"/>
      <c r="H72" s="48">
        <f>IFERROR(VLOOKUP(A72,F_Tabelle,10,FALSE),"")</f>
        <v/>
      </c>
      <c r="I72" s="49">
        <f>IF(OR(D72="",F72=""),"",IF(F72=0,"",EDATE(D72,F72)))</f>
        <v/>
      </c>
      <c r="J72" s="50">
        <f>IF(I72="","",I72-TODAY())</f>
        <v/>
      </c>
      <c r="K72" s="48">
        <f>IF(OR(E72="",G72=""),"",IF(G72=0,"",E72+G72))</f>
        <v/>
      </c>
      <c r="L72" s="48">
        <f>IF(OR(K72="",H72=""),"",K72-H72)</f>
        <v/>
      </c>
      <c r="M72" s="50">
        <f>IF(AND(J72="",L72=""),"",IF(OR(AND(J72&lt;&gt;"",J72&lt;0),AND(L72&lt;&gt;"",L72&lt;0)),"🔴 Überfällig",IF(OR(AND(J72&lt;&gt;"",J72&lt;=30),AND(L72&lt;&gt;"",L72&lt;=1000)),"🟡 Bald fällig","🟢 OK")))</f>
        <v/>
      </c>
      <c r="N72" s="38" t="n"/>
    </row>
    <row r="73">
      <c r="A73" s="32" t="n"/>
      <c r="B73" s="32" t="n"/>
      <c r="C73" s="32" t="n"/>
      <c r="D73" s="32" t="n"/>
      <c r="E73" s="32" t="n"/>
      <c r="F73" s="32" t="n"/>
      <c r="G73" s="32" t="n"/>
      <c r="H73" s="48">
        <f>IFERROR(VLOOKUP(A73,F_Tabelle,10,FALSE),"")</f>
        <v/>
      </c>
      <c r="I73" s="49">
        <f>IF(OR(D73="",F73=""),"",IF(F73=0,"",EDATE(D73,F73)))</f>
        <v/>
      </c>
      <c r="J73" s="50">
        <f>IF(I73="","",I73-TODAY())</f>
        <v/>
      </c>
      <c r="K73" s="48">
        <f>IF(OR(E73="",G73=""),"",IF(G73=0,"",E73+G73))</f>
        <v/>
      </c>
      <c r="L73" s="48">
        <f>IF(OR(K73="",H73=""),"",K73-H73)</f>
        <v/>
      </c>
      <c r="M73" s="50">
        <f>IF(AND(J73="",L73=""),"",IF(OR(AND(J73&lt;&gt;"",J73&lt;0),AND(L73&lt;&gt;"",L73&lt;0)),"🔴 Überfällig",IF(OR(AND(J73&lt;&gt;"",J73&lt;=30),AND(L73&lt;&gt;"",L73&lt;=1000)),"🟡 Bald fällig","🟢 OK")))</f>
        <v/>
      </c>
      <c r="N73" s="40" t="n"/>
    </row>
    <row r="74">
      <c r="A74" s="34" t="n"/>
      <c r="B74" s="34" t="n"/>
      <c r="C74" s="34" t="n"/>
      <c r="D74" s="34" t="n"/>
      <c r="E74" s="34" t="n"/>
      <c r="F74" s="34" t="n"/>
      <c r="G74" s="34" t="n"/>
      <c r="H74" s="48">
        <f>IFERROR(VLOOKUP(A74,F_Tabelle,10,FALSE),"")</f>
        <v/>
      </c>
      <c r="I74" s="49">
        <f>IF(OR(D74="",F74=""),"",IF(F74=0,"",EDATE(D74,F74)))</f>
        <v/>
      </c>
      <c r="J74" s="50">
        <f>IF(I74="","",I74-TODAY())</f>
        <v/>
      </c>
      <c r="K74" s="48">
        <f>IF(OR(E74="",G74=""),"",IF(G74=0,"",E74+G74))</f>
        <v/>
      </c>
      <c r="L74" s="48">
        <f>IF(OR(K74="",H74=""),"",K74-H74)</f>
        <v/>
      </c>
      <c r="M74" s="50">
        <f>IF(AND(J74="",L74=""),"",IF(OR(AND(J74&lt;&gt;"",J74&lt;0),AND(L74&lt;&gt;"",L74&lt;0)),"🔴 Überfällig",IF(OR(AND(J74&lt;&gt;"",J74&lt;=30),AND(L74&lt;&gt;"",L74&lt;=1000)),"🟡 Bald fällig","🟢 OK")))</f>
        <v/>
      </c>
      <c r="N74" s="38" t="n"/>
    </row>
    <row r="75">
      <c r="A75" s="32" t="n"/>
      <c r="B75" s="32" t="n"/>
      <c r="C75" s="32" t="n"/>
      <c r="D75" s="32" t="n"/>
      <c r="E75" s="32" t="n"/>
      <c r="F75" s="32" t="n"/>
      <c r="G75" s="32" t="n"/>
      <c r="H75" s="48">
        <f>IFERROR(VLOOKUP(A75,F_Tabelle,10,FALSE),"")</f>
        <v/>
      </c>
      <c r="I75" s="49">
        <f>IF(OR(D75="",F75=""),"",IF(F75=0,"",EDATE(D75,F75)))</f>
        <v/>
      </c>
      <c r="J75" s="50">
        <f>IF(I75="","",I75-TODAY())</f>
        <v/>
      </c>
      <c r="K75" s="48">
        <f>IF(OR(E75="",G75=""),"",IF(G75=0,"",E75+G75))</f>
        <v/>
      </c>
      <c r="L75" s="48">
        <f>IF(OR(K75="",H75=""),"",K75-H75)</f>
        <v/>
      </c>
      <c r="M75" s="50">
        <f>IF(AND(J75="",L75=""),"",IF(OR(AND(J75&lt;&gt;"",J75&lt;0),AND(L75&lt;&gt;"",L75&lt;0)),"🔴 Überfällig",IF(OR(AND(J75&lt;&gt;"",J75&lt;=30),AND(L75&lt;&gt;"",L75&lt;=1000)),"🟡 Bald fällig","🟢 OK")))</f>
        <v/>
      </c>
      <c r="N75" s="40" t="n"/>
    </row>
    <row r="76">
      <c r="A76" s="34" t="n"/>
      <c r="B76" s="34" t="n"/>
      <c r="C76" s="34" t="n"/>
      <c r="D76" s="34" t="n"/>
      <c r="E76" s="34" t="n"/>
      <c r="F76" s="34" t="n"/>
      <c r="G76" s="34" t="n"/>
      <c r="H76" s="48">
        <f>IFERROR(VLOOKUP(A76,F_Tabelle,10,FALSE),"")</f>
        <v/>
      </c>
      <c r="I76" s="49">
        <f>IF(OR(D76="",F76=""),"",IF(F76=0,"",EDATE(D76,F76)))</f>
        <v/>
      </c>
      <c r="J76" s="50">
        <f>IF(I76="","",I76-TODAY())</f>
        <v/>
      </c>
      <c r="K76" s="48">
        <f>IF(OR(E76="",G76=""),"",IF(G76=0,"",E76+G76))</f>
        <v/>
      </c>
      <c r="L76" s="48">
        <f>IF(OR(K76="",H76=""),"",K76-H76)</f>
        <v/>
      </c>
      <c r="M76" s="50">
        <f>IF(AND(J76="",L76=""),"",IF(OR(AND(J76&lt;&gt;"",J76&lt;0),AND(L76&lt;&gt;"",L76&lt;0)),"🔴 Überfällig",IF(OR(AND(J76&lt;&gt;"",J76&lt;=30),AND(L76&lt;&gt;"",L76&lt;=1000)),"🟡 Bald fällig","🟢 OK")))</f>
        <v/>
      </c>
      <c r="N76" s="38" t="n"/>
    </row>
    <row r="77">
      <c r="A77" s="32" t="n"/>
      <c r="B77" s="32" t="n"/>
      <c r="C77" s="32" t="n"/>
      <c r="D77" s="32" t="n"/>
      <c r="E77" s="32" t="n"/>
      <c r="F77" s="32" t="n"/>
      <c r="G77" s="32" t="n"/>
      <c r="H77" s="48">
        <f>IFERROR(VLOOKUP(A77,F_Tabelle,10,FALSE),"")</f>
        <v/>
      </c>
      <c r="I77" s="49">
        <f>IF(OR(D77="",F77=""),"",IF(F77=0,"",EDATE(D77,F77)))</f>
        <v/>
      </c>
      <c r="J77" s="50">
        <f>IF(I77="","",I77-TODAY())</f>
        <v/>
      </c>
      <c r="K77" s="48">
        <f>IF(OR(E77="",G77=""),"",IF(G77=0,"",E77+G77))</f>
        <v/>
      </c>
      <c r="L77" s="48">
        <f>IF(OR(K77="",H77=""),"",K77-H77)</f>
        <v/>
      </c>
      <c r="M77" s="50">
        <f>IF(AND(J77="",L77=""),"",IF(OR(AND(J77&lt;&gt;"",J77&lt;0),AND(L77&lt;&gt;"",L77&lt;0)),"🔴 Überfällig",IF(OR(AND(J77&lt;&gt;"",J77&lt;=30),AND(L77&lt;&gt;"",L77&lt;=1000)),"🟡 Bald fällig","🟢 OK")))</f>
        <v/>
      </c>
      <c r="N77" s="40" t="n"/>
    </row>
    <row r="78">
      <c r="A78" s="34" t="n"/>
      <c r="B78" s="34" t="n"/>
      <c r="C78" s="34" t="n"/>
      <c r="D78" s="34" t="n"/>
      <c r="E78" s="34" t="n"/>
      <c r="F78" s="34" t="n"/>
      <c r="G78" s="34" t="n"/>
      <c r="H78" s="48">
        <f>IFERROR(VLOOKUP(A78,F_Tabelle,10,FALSE),"")</f>
        <v/>
      </c>
      <c r="I78" s="49">
        <f>IF(OR(D78="",F78=""),"",IF(F78=0,"",EDATE(D78,F78)))</f>
        <v/>
      </c>
      <c r="J78" s="50">
        <f>IF(I78="","",I78-TODAY())</f>
        <v/>
      </c>
      <c r="K78" s="48">
        <f>IF(OR(E78="",G78=""),"",IF(G78=0,"",E78+G78))</f>
        <v/>
      </c>
      <c r="L78" s="48">
        <f>IF(OR(K78="",H78=""),"",K78-H78)</f>
        <v/>
      </c>
      <c r="M78" s="50">
        <f>IF(AND(J78="",L78=""),"",IF(OR(AND(J78&lt;&gt;"",J78&lt;0),AND(L78&lt;&gt;"",L78&lt;0)),"🔴 Überfällig",IF(OR(AND(J78&lt;&gt;"",J78&lt;=30),AND(L78&lt;&gt;"",L78&lt;=1000)),"🟡 Bald fällig","🟢 OK")))</f>
        <v/>
      </c>
      <c r="N78" s="38" t="n"/>
    </row>
    <row r="79">
      <c r="A79" s="32" t="n"/>
      <c r="B79" s="32" t="n"/>
      <c r="C79" s="32" t="n"/>
      <c r="D79" s="32" t="n"/>
      <c r="E79" s="32" t="n"/>
      <c r="F79" s="32" t="n"/>
      <c r="G79" s="32" t="n"/>
      <c r="H79" s="48">
        <f>IFERROR(VLOOKUP(A79,F_Tabelle,10,FALSE),"")</f>
        <v/>
      </c>
      <c r="I79" s="49">
        <f>IF(OR(D79="",F79=""),"",IF(F79=0,"",EDATE(D79,F79)))</f>
        <v/>
      </c>
      <c r="J79" s="50">
        <f>IF(I79="","",I79-TODAY())</f>
        <v/>
      </c>
      <c r="K79" s="48">
        <f>IF(OR(E79="",G79=""),"",IF(G79=0,"",E79+G79))</f>
        <v/>
      </c>
      <c r="L79" s="48">
        <f>IF(OR(K79="",H79=""),"",K79-H79)</f>
        <v/>
      </c>
      <c r="M79" s="50">
        <f>IF(AND(J79="",L79=""),"",IF(OR(AND(J79&lt;&gt;"",J79&lt;0),AND(L79&lt;&gt;"",L79&lt;0)),"🔴 Überfällig",IF(OR(AND(J79&lt;&gt;"",J79&lt;=30),AND(L79&lt;&gt;"",L79&lt;=1000)),"🟡 Bald fällig","🟢 OK")))</f>
        <v/>
      </c>
      <c r="N79" s="40" t="n"/>
    </row>
    <row r="80">
      <c r="A80" s="34" t="n"/>
      <c r="B80" s="34" t="n"/>
      <c r="C80" s="34" t="n"/>
      <c r="D80" s="34" t="n"/>
      <c r="E80" s="34" t="n"/>
      <c r="F80" s="34" t="n"/>
      <c r="G80" s="34" t="n"/>
      <c r="H80" s="48">
        <f>IFERROR(VLOOKUP(A80,F_Tabelle,10,FALSE),"")</f>
        <v/>
      </c>
      <c r="I80" s="49">
        <f>IF(OR(D80="",F80=""),"",IF(F80=0,"",EDATE(D80,F80)))</f>
        <v/>
      </c>
      <c r="J80" s="50">
        <f>IF(I80="","",I80-TODAY())</f>
        <v/>
      </c>
      <c r="K80" s="48">
        <f>IF(OR(E80="",G80=""),"",IF(G80=0,"",E80+G80))</f>
        <v/>
      </c>
      <c r="L80" s="48">
        <f>IF(OR(K80="",H80=""),"",K80-H80)</f>
        <v/>
      </c>
      <c r="M80" s="50">
        <f>IF(AND(J80="",L80=""),"",IF(OR(AND(J80&lt;&gt;"",J80&lt;0),AND(L80&lt;&gt;"",L80&lt;0)),"🔴 Überfällig",IF(OR(AND(J80&lt;&gt;"",J80&lt;=30),AND(L80&lt;&gt;"",L80&lt;=1000)),"🟡 Bald fällig","🟢 OK")))</f>
        <v/>
      </c>
      <c r="N80" s="38" t="n"/>
    </row>
    <row r="81">
      <c r="A81" s="32" t="n"/>
      <c r="B81" s="32" t="n"/>
      <c r="C81" s="32" t="n"/>
      <c r="D81" s="32" t="n"/>
      <c r="E81" s="32" t="n"/>
      <c r="F81" s="32" t="n"/>
      <c r="G81" s="32" t="n"/>
      <c r="H81" s="48">
        <f>IFERROR(VLOOKUP(A81,F_Tabelle,10,FALSE),"")</f>
        <v/>
      </c>
      <c r="I81" s="49">
        <f>IF(OR(D81="",F81=""),"",IF(F81=0,"",EDATE(D81,F81)))</f>
        <v/>
      </c>
      <c r="J81" s="50">
        <f>IF(I81="","",I81-TODAY())</f>
        <v/>
      </c>
      <c r="K81" s="48">
        <f>IF(OR(E81="",G81=""),"",IF(G81=0,"",E81+G81))</f>
        <v/>
      </c>
      <c r="L81" s="48">
        <f>IF(OR(K81="",H81=""),"",K81-H81)</f>
        <v/>
      </c>
      <c r="M81" s="50">
        <f>IF(AND(J81="",L81=""),"",IF(OR(AND(J81&lt;&gt;"",J81&lt;0),AND(L81&lt;&gt;"",L81&lt;0)),"🔴 Überfällig",IF(OR(AND(J81&lt;&gt;"",J81&lt;=30),AND(L81&lt;&gt;"",L81&lt;=1000)),"🟡 Bald fällig","🟢 OK")))</f>
        <v/>
      </c>
      <c r="N81" s="40" t="n"/>
    </row>
    <row r="82">
      <c r="A82" s="34" t="n"/>
      <c r="B82" s="34" t="n"/>
      <c r="C82" s="34" t="n"/>
      <c r="D82" s="34" t="n"/>
      <c r="E82" s="34" t="n"/>
      <c r="F82" s="34" t="n"/>
      <c r="G82" s="34" t="n"/>
      <c r="H82" s="48">
        <f>IFERROR(VLOOKUP(A82,F_Tabelle,10,FALSE),"")</f>
        <v/>
      </c>
      <c r="I82" s="49">
        <f>IF(OR(D82="",F82=""),"",IF(F82=0,"",EDATE(D82,F82)))</f>
        <v/>
      </c>
      <c r="J82" s="50">
        <f>IF(I82="","",I82-TODAY())</f>
        <v/>
      </c>
      <c r="K82" s="48">
        <f>IF(OR(E82="",G82=""),"",IF(G82=0,"",E82+G82))</f>
        <v/>
      </c>
      <c r="L82" s="48">
        <f>IF(OR(K82="",H82=""),"",K82-H82)</f>
        <v/>
      </c>
      <c r="M82" s="50">
        <f>IF(AND(J82="",L82=""),"",IF(OR(AND(J82&lt;&gt;"",J82&lt;0),AND(L82&lt;&gt;"",L82&lt;0)),"🔴 Überfällig",IF(OR(AND(J82&lt;&gt;"",J82&lt;=30),AND(L82&lt;&gt;"",L82&lt;=1000)),"🟡 Bald fällig","🟢 OK")))</f>
        <v/>
      </c>
      <c r="N82" s="38" t="n"/>
    </row>
    <row r="83">
      <c r="A83" s="32" t="n"/>
      <c r="B83" s="32" t="n"/>
      <c r="C83" s="32" t="n"/>
      <c r="D83" s="32" t="n"/>
      <c r="E83" s="32" t="n"/>
      <c r="F83" s="32" t="n"/>
      <c r="G83" s="32" t="n"/>
      <c r="H83" s="48">
        <f>IFERROR(VLOOKUP(A83,F_Tabelle,10,FALSE),"")</f>
        <v/>
      </c>
      <c r="I83" s="49">
        <f>IF(OR(D83="",F83=""),"",IF(F83=0,"",EDATE(D83,F83)))</f>
        <v/>
      </c>
      <c r="J83" s="50">
        <f>IF(I83="","",I83-TODAY())</f>
        <v/>
      </c>
      <c r="K83" s="48">
        <f>IF(OR(E83="",G83=""),"",IF(G83=0,"",E83+G83))</f>
        <v/>
      </c>
      <c r="L83" s="48">
        <f>IF(OR(K83="",H83=""),"",K83-H83)</f>
        <v/>
      </c>
      <c r="M83" s="50">
        <f>IF(AND(J83="",L83=""),"",IF(OR(AND(J83&lt;&gt;"",J83&lt;0),AND(L83&lt;&gt;"",L83&lt;0)),"🔴 Überfällig",IF(OR(AND(J83&lt;&gt;"",J83&lt;=30),AND(L83&lt;&gt;"",L83&lt;=1000)),"🟡 Bald fällig","🟢 OK")))</f>
        <v/>
      </c>
      <c r="N83" s="40" t="n"/>
    </row>
    <row r="84">
      <c r="A84" s="34" t="n"/>
      <c r="B84" s="34" t="n"/>
      <c r="C84" s="34" t="n"/>
      <c r="D84" s="34" t="n"/>
      <c r="E84" s="34" t="n"/>
      <c r="F84" s="34" t="n"/>
      <c r="G84" s="34" t="n"/>
      <c r="H84" s="48">
        <f>IFERROR(VLOOKUP(A84,F_Tabelle,10,FALSE),"")</f>
        <v/>
      </c>
      <c r="I84" s="49">
        <f>IF(OR(D84="",F84=""),"",IF(F84=0,"",EDATE(D84,F84)))</f>
        <v/>
      </c>
      <c r="J84" s="50">
        <f>IF(I84="","",I84-TODAY())</f>
        <v/>
      </c>
      <c r="K84" s="48">
        <f>IF(OR(E84="",G84=""),"",IF(G84=0,"",E84+G84))</f>
        <v/>
      </c>
      <c r="L84" s="48">
        <f>IF(OR(K84="",H84=""),"",K84-H84)</f>
        <v/>
      </c>
      <c r="M84" s="50">
        <f>IF(AND(J84="",L84=""),"",IF(OR(AND(J84&lt;&gt;"",J84&lt;0),AND(L84&lt;&gt;"",L84&lt;0)),"🔴 Überfällig",IF(OR(AND(J84&lt;&gt;"",J84&lt;=30),AND(L84&lt;&gt;"",L84&lt;=1000)),"🟡 Bald fällig","🟢 OK")))</f>
        <v/>
      </c>
      <c r="N84" s="38" t="n"/>
    </row>
    <row r="85">
      <c r="A85" s="32" t="n"/>
      <c r="B85" s="32" t="n"/>
      <c r="C85" s="32" t="n"/>
      <c r="D85" s="32" t="n"/>
      <c r="E85" s="32" t="n"/>
      <c r="F85" s="32" t="n"/>
      <c r="G85" s="32" t="n"/>
      <c r="H85" s="48">
        <f>IFERROR(VLOOKUP(A85,F_Tabelle,10,FALSE),"")</f>
        <v/>
      </c>
      <c r="I85" s="49">
        <f>IF(OR(D85="",F85=""),"",IF(F85=0,"",EDATE(D85,F85)))</f>
        <v/>
      </c>
      <c r="J85" s="50">
        <f>IF(I85="","",I85-TODAY())</f>
        <v/>
      </c>
      <c r="K85" s="48">
        <f>IF(OR(E85="",G85=""),"",IF(G85=0,"",E85+G85))</f>
        <v/>
      </c>
      <c r="L85" s="48">
        <f>IF(OR(K85="",H85=""),"",K85-H85)</f>
        <v/>
      </c>
      <c r="M85" s="50">
        <f>IF(AND(J85="",L85=""),"",IF(OR(AND(J85&lt;&gt;"",J85&lt;0),AND(L85&lt;&gt;"",L85&lt;0)),"🔴 Überfällig",IF(OR(AND(J85&lt;&gt;"",J85&lt;=30),AND(L85&lt;&gt;"",L85&lt;=1000)),"🟡 Bald fällig","🟢 OK")))</f>
        <v/>
      </c>
      <c r="N85" s="40" t="n"/>
    </row>
    <row r="86">
      <c r="A86" s="34" t="n"/>
      <c r="B86" s="34" t="n"/>
      <c r="C86" s="34" t="n"/>
      <c r="D86" s="34" t="n"/>
      <c r="E86" s="34" t="n"/>
      <c r="F86" s="34" t="n"/>
      <c r="G86" s="34" t="n"/>
      <c r="H86" s="48">
        <f>IFERROR(VLOOKUP(A86,F_Tabelle,10,FALSE),"")</f>
        <v/>
      </c>
      <c r="I86" s="49">
        <f>IF(OR(D86="",F86=""),"",IF(F86=0,"",EDATE(D86,F86)))</f>
        <v/>
      </c>
      <c r="J86" s="50">
        <f>IF(I86="","",I86-TODAY())</f>
        <v/>
      </c>
      <c r="K86" s="48">
        <f>IF(OR(E86="",G86=""),"",IF(G86=0,"",E86+G86))</f>
        <v/>
      </c>
      <c r="L86" s="48">
        <f>IF(OR(K86="",H86=""),"",K86-H86)</f>
        <v/>
      </c>
      <c r="M86" s="50">
        <f>IF(AND(J86="",L86=""),"",IF(OR(AND(J86&lt;&gt;"",J86&lt;0),AND(L86&lt;&gt;"",L86&lt;0)),"🔴 Überfällig",IF(OR(AND(J86&lt;&gt;"",J86&lt;=30),AND(L86&lt;&gt;"",L86&lt;=1000)),"🟡 Bald fällig","🟢 OK")))</f>
        <v/>
      </c>
      <c r="N86" s="38" t="n"/>
    </row>
    <row r="87">
      <c r="A87" s="32" t="n"/>
      <c r="B87" s="32" t="n"/>
      <c r="C87" s="32" t="n"/>
      <c r="D87" s="32" t="n"/>
      <c r="E87" s="32" t="n"/>
      <c r="F87" s="32" t="n"/>
      <c r="G87" s="32" t="n"/>
      <c r="H87" s="48">
        <f>IFERROR(VLOOKUP(A87,F_Tabelle,10,FALSE),"")</f>
        <v/>
      </c>
      <c r="I87" s="49">
        <f>IF(OR(D87="",F87=""),"",IF(F87=0,"",EDATE(D87,F87)))</f>
        <v/>
      </c>
      <c r="J87" s="50">
        <f>IF(I87="","",I87-TODAY())</f>
        <v/>
      </c>
      <c r="K87" s="48">
        <f>IF(OR(E87="",G87=""),"",IF(G87=0,"",E87+G87))</f>
        <v/>
      </c>
      <c r="L87" s="48">
        <f>IF(OR(K87="",H87=""),"",K87-H87)</f>
        <v/>
      </c>
      <c r="M87" s="50">
        <f>IF(AND(J87="",L87=""),"",IF(OR(AND(J87&lt;&gt;"",J87&lt;0),AND(L87&lt;&gt;"",L87&lt;0)),"🔴 Überfällig",IF(OR(AND(J87&lt;&gt;"",J87&lt;=30),AND(L87&lt;&gt;"",L87&lt;=1000)),"🟡 Bald fällig","🟢 OK")))</f>
        <v/>
      </c>
      <c r="N87" s="40" t="n"/>
    </row>
    <row r="88">
      <c r="A88" s="34" t="n"/>
      <c r="B88" s="34" t="n"/>
      <c r="C88" s="34" t="n"/>
      <c r="D88" s="34" t="n"/>
      <c r="E88" s="34" t="n"/>
      <c r="F88" s="34" t="n"/>
      <c r="G88" s="34" t="n"/>
      <c r="H88" s="48">
        <f>IFERROR(VLOOKUP(A88,F_Tabelle,10,FALSE),"")</f>
        <v/>
      </c>
      <c r="I88" s="49">
        <f>IF(OR(D88="",F88=""),"",IF(F88=0,"",EDATE(D88,F88)))</f>
        <v/>
      </c>
      <c r="J88" s="50">
        <f>IF(I88="","",I88-TODAY())</f>
        <v/>
      </c>
      <c r="K88" s="48">
        <f>IF(OR(E88="",G88=""),"",IF(G88=0,"",E88+G88))</f>
        <v/>
      </c>
      <c r="L88" s="48">
        <f>IF(OR(K88="",H88=""),"",K88-H88)</f>
        <v/>
      </c>
      <c r="M88" s="50">
        <f>IF(AND(J88="",L88=""),"",IF(OR(AND(J88&lt;&gt;"",J88&lt;0),AND(L88&lt;&gt;"",L88&lt;0)),"🔴 Überfällig",IF(OR(AND(J88&lt;&gt;"",J88&lt;=30),AND(L88&lt;&gt;"",L88&lt;=1000)),"🟡 Bald fällig","🟢 OK")))</f>
        <v/>
      </c>
      <c r="N88" s="38" t="n"/>
    </row>
    <row r="89">
      <c r="A89" s="32" t="n"/>
      <c r="B89" s="32" t="n"/>
      <c r="C89" s="32" t="n"/>
      <c r="D89" s="32" t="n"/>
      <c r="E89" s="32" t="n"/>
      <c r="F89" s="32" t="n"/>
      <c r="G89" s="32" t="n"/>
      <c r="H89" s="48">
        <f>IFERROR(VLOOKUP(A89,F_Tabelle,10,FALSE),"")</f>
        <v/>
      </c>
      <c r="I89" s="49">
        <f>IF(OR(D89="",F89=""),"",IF(F89=0,"",EDATE(D89,F89)))</f>
        <v/>
      </c>
      <c r="J89" s="50">
        <f>IF(I89="","",I89-TODAY())</f>
        <v/>
      </c>
      <c r="K89" s="48">
        <f>IF(OR(E89="",G89=""),"",IF(G89=0,"",E89+G89))</f>
        <v/>
      </c>
      <c r="L89" s="48">
        <f>IF(OR(K89="",H89=""),"",K89-H89)</f>
        <v/>
      </c>
      <c r="M89" s="50">
        <f>IF(AND(J89="",L89=""),"",IF(OR(AND(J89&lt;&gt;"",J89&lt;0),AND(L89&lt;&gt;"",L89&lt;0)),"🔴 Überfällig",IF(OR(AND(J89&lt;&gt;"",J89&lt;=30),AND(L89&lt;&gt;"",L89&lt;=1000)),"🟡 Bald fällig","🟢 OK")))</f>
        <v/>
      </c>
      <c r="N89" s="40" t="n"/>
    </row>
    <row r="90">
      <c r="A90" s="34" t="n"/>
      <c r="B90" s="34" t="n"/>
      <c r="C90" s="34" t="n"/>
      <c r="D90" s="34" t="n"/>
      <c r="E90" s="34" t="n"/>
      <c r="F90" s="34" t="n"/>
      <c r="G90" s="34" t="n"/>
      <c r="H90" s="48">
        <f>IFERROR(VLOOKUP(A90,F_Tabelle,10,FALSE),"")</f>
        <v/>
      </c>
      <c r="I90" s="49">
        <f>IF(OR(D90="",F90=""),"",IF(F90=0,"",EDATE(D90,F90)))</f>
        <v/>
      </c>
      <c r="J90" s="50">
        <f>IF(I90="","",I90-TODAY())</f>
        <v/>
      </c>
      <c r="K90" s="48">
        <f>IF(OR(E90="",G90=""),"",IF(G90=0,"",E90+G90))</f>
        <v/>
      </c>
      <c r="L90" s="48">
        <f>IF(OR(K90="",H90=""),"",K90-H90)</f>
        <v/>
      </c>
      <c r="M90" s="50">
        <f>IF(AND(J90="",L90=""),"",IF(OR(AND(J90&lt;&gt;"",J90&lt;0),AND(L90&lt;&gt;"",L90&lt;0)),"🔴 Überfällig",IF(OR(AND(J90&lt;&gt;"",J90&lt;=30),AND(L90&lt;&gt;"",L90&lt;=1000)),"🟡 Bald fällig","🟢 OK")))</f>
        <v/>
      </c>
      <c r="N90" s="38" t="n"/>
    </row>
    <row r="91">
      <c r="A91" s="32" t="n"/>
      <c r="B91" s="32" t="n"/>
      <c r="C91" s="32" t="n"/>
      <c r="D91" s="32" t="n"/>
      <c r="E91" s="32" t="n"/>
      <c r="F91" s="32" t="n"/>
      <c r="G91" s="32" t="n"/>
      <c r="H91" s="48">
        <f>IFERROR(VLOOKUP(A91,F_Tabelle,10,FALSE),"")</f>
        <v/>
      </c>
      <c r="I91" s="49">
        <f>IF(OR(D91="",F91=""),"",IF(F91=0,"",EDATE(D91,F91)))</f>
        <v/>
      </c>
      <c r="J91" s="50">
        <f>IF(I91="","",I91-TODAY())</f>
        <v/>
      </c>
      <c r="K91" s="48">
        <f>IF(OR(E91="",G91=""),"",IF(G91=0,"",E91+G91))</f>
        <v/>
      </c>
      <c r="L91" s="48">
        <f>IF(OR(K91="",H91=""),"",K91-H91)</f>
        <v/>
      </c>
      <c r="M91" s="50">
        <f>IF(AND(J91="",L91=""),"",IF(OR(AND(J91&lt;&gt;"",J91&lt;0),AND(L91&lt;&gt;"",L91&lt;0)),"🔴 Überfällig",IF(OR(AND(J91&lt;&gt;"",J91&lt;=30),AND(L91&lt;&gt;"",L91&lt;=1000)),"🟡 Bald fällig","🟢 OK")))</f>
        <v/>
      </c>
      <c r="N91" s="40" t="n"/>
    </row>
    <row r="92">
      <c r="A92" s="34" t="n"/>
      <c r="B92" s="34" t="n"/>
      <c r="C92" s="34" t="n"/>
      <c r="D92" s="34" t="n"/>
      <c r="E92" s="34" t="n"/>
      <c r="F92" s="34" t="n"/>
      <c r="G92" s="34" t="n"/>
      <c r="H92" s="48">
        <f>IFERROR(VLOOKUP(A92,F_Tabelle,10,FALSE),"")</f>
        <v/>
      </c>
      <c r="I92" s="49">
        <f>IF(OR(D92="",F92=""),"",IF(F92=0,"",EDATE(D92,F92)))</f>
        <v/>
      </c>
      <c r="J92" s="50">
        <f>IF(I92="","",I92-TODAY())</f>
        <v/>
      </c>
      <c r="K92" s="48">
        <f>IF(OR(E92="",G92=""),"",IF(G92=0,"",E92+G92))</f>
        <v/>
      </c>
      <c r="L92" s="48">
        <f>IF(OR(K92="",H92=""),"",K92-H92)</f>
        <v/>
      </c>
      <c r="M92" s="50">
        <f>IF(AND(J92="",L92=""),"",IF(OR(AND(J92&lt;&gt;"",J92&lt;0),AND(L92&lt;&gt;"",L92&lt;0)),"🔴 Überfällig",IF(OR(AND(J92&lt;&gt;"",J92&lt;=30),AND(L92&lt;&gt;"",L92&lt;=1000)),"🟡 Bald fällig","🟢 OK")))</f>
        <v/>
      </c>
      <c r="N92" s="38" t="n"/>
    </row>
    <row r="93">
      <c r="A93" s="32" t="n"/>
      <c r="B93" s="32" t="n"/>
      <c r="C93" s="32" t="n"/>
      <c r="D93" s="32" t="n"/>
      <c r="E93" s="32" t="n"/>
      <c r="F93" s="32" t="n"/>
      <c r="G93" s="32" t="n"/>
      <c r="H93" s="48">
        <f>IFERROR(VLOOKUP(A93,F_Tabelle,10,FALSE),"")</f>
        <v/>
      </c>
      <c r="I93" s="49">
        <f>IF(OR(D93="",F93=""),"",IF(F93=0,"",EDATE(D93,F93)))</f>
        <v/>
      </c>
      <c r="J93" s="50">
        <f>IF(I93="","",I93-TODAY())</f>
        <v/>
      </c>
      <c r="K93" s="48">
        <f>IF(OR(E93="",G93=""),"",IF(G93=0,"",E93+G93))</f>
        <v/>
      </c>
      <c r="L93" s="48">
        <f>IF(OR(K93="",H93=""),"",K93-H93)</f>
        <v/>
      </c>
      <c r="M93" s="50">
        <f>IF(AND(J93="",L93=""),"",IF(OR(AND(J93&lt;&gt;"",J93&lt;0),AND(L93&lt;&gt;"",L93&lt;0)),"🔴 Überfällig",IF(OR(AND(J93&lt;&gt;"",J93&lt;=30),AND(L93&lt;&gt;"",L93&lt;=1000)),"🟡 Bald fällig","🟢 OK")))</f>
        <v/>
      </c>
      <c r="N93" s="40" t="n"/>
    </row>
    <row r="94">
      <c r="A94" s="34" t="n"/>
      <c r="B94" s="34" t="n"/>
      <c r="C94" s="34" t="n"/>
      <c r="D94" s="34" t="n"/>
      <c r="E94" s="34" t="n"/>
      <c r="F94" s="34" t="n"/>
      <c r="G94" s="34" t="n"/>
      <c r="H94" s="48">
        <f>IFERROR(VLOOKUP(A94,F_Tabelle,10,FALSE),"")</f>
        <v/>
      </c>
      <c r="I94" s="49">
        <f>IF(OR(D94="",F94=""),"",IF(F94=0,"",EDATE(D94,F94)))</f>
        <v/>
      </c>
      <c r="J94" s="50">
        <f>IF(I94="","",I94-TODAY())</f>
        <v/>
      </c>
      <c r="K94" s="48">
        <f>IF(OR(E94="",G94=""),"",IF(G94=0,"",E94+G94))</f>
        <v/>
      </c>
      <c r="L94" s="48">
        <f>IF(OR(K94="",H94=""),"",K94-H94)</f>
        <v/>
      </c>
      <c r="M94" s="50">
        <f>IF(AND(J94="",L94=""),"",IF(OR(AND(J94&lt;&gt;"",J94&lt;0),AND(L94&lt;&gt;"",L94&lt;0)),"🔴 Überfällig",IF(OR(AND(J94&lt;&gt;"",J94&lt;=30),AND(L94&lt;&gt;"",L94&lt;=1000)),"🟡 Bald fällig","🟢 OK")))</f>
        <v/>
      </c>
      <c r="N94" s="38" t="n"/>
    </row>
    <row r="95">
      <c r="A95" s="32" t="n"/>
      <c r="B95" s="32" t="n"/>
      <c r="C95" s="32" t="n"/>
      <c r="D95" s="32" t="n"/>
      <c r="E95" s="32" t="n"/>
      <c r="F95" s="32" t="n"/>
      <c r="G95" s="32" t="n"/>
      <c r="H95" s="48">
        <f>IFERROR(VLOOKUP(A95,F_Tabelle,10,FALSE),"")</f>
        <v/>
      </c>
      <c r="I95" s="49">
        <f>IF(OR(D95="",F95=""),"",IF(F95=0,"",EDATE(D95,F95)))</f>
        <v/>
      </c>
      <c r="J95" s="50">
        <f>IF(I95="","",I95-TODAY())</f>
        <v/>
      </c>
      <c r="K95" s="48">
        <f>IF(OR(E95="",G95=""),"",IF(G95=0,"",E95+G95))</f>
        <v/>
      </c>
      <c r="L95" s="48">
        <f>IF(OR(K95="",H95=""),"",K95-H95)</f>
        <v/>
      </c>
      <c r="M95" s="50">
        <f>IF(AND(J95="",L95=""),"",IF(OR(AND(J95&lt;&gt;"",J95&lt;0),AND(L95&lt;&gt;"",L95&lt;0)),"🔴 Überfällig",IF(OR(AND(J95&lt;&gt;"",J95&lt;=30),AND(L95&lt;&gt;"",L95&lt;=1000)),"🟡 Bald fällig","🟢 OK")))</f>
        <v/>
      </c>
      <c r="N95" s="40" t="n"/>
    </row>
    <row r="96">
      <c r="A96" s="34" t="n"/>
      <c r="B96" s="34" t="n"/>
      <c r="C96" s="34" t="n"/>
      <c r="D96" s="34" t="n"/>
      <c r="E96" s="34" t="n"/>
      <c r="F96" s="34" t="n"/>
      <c r="G96" s="34" t="n"/>
      <c r="H96" s="48">
        <f>IFERROR(VLOOKUP(A96,F_Tabelle,10,FALSE),"")</f>
        <v/>
      </c>
      <c r="I96" s="49">
        <f>IF(OR(D96="",F96=""),"",IF(F96=0,"",EDATE(D96,F96)))</f>
        <v/>
      </c>
      <c r="J96" s="50">
        <f>IF(I96="","",I96-TODAY())</f>
        <v/>
      </c>
      <c r="K96" s="48">
        <f>IF(OR(E96="",G96=""),"",IF(G96=0,"",E96+G96))</f>
        <v/>
      </c>
      <c r="L96" s="48">
        <f>IF(OR(K96="",H96=""),"",K96-H96)</f>
        <v/>
      </c>
      <c r="M96" s="50">
        <f>IF(AND(J96="",L96=""),"",IF(OR(AND(J96&lt;&gt;"",J96&lt;0),AND(L96&lt;&gt;"",L96&lt;0)),"🔴 Überfällig",IF(OR(AND(J96&lt;&gt;"",J96&lt;=30),AND(L96&lt;&gt;"",L96&lt;=1000)),"🟡 Bald fällig","🟢 OK")))</f>
        <v/>
      </c>
      <c r="N96" s="38" t="n"/>
    </row>
    <row r="97">
      <c r="A97" s="32" t="n"/>
      <c r="B97" s="32" t="n"/>
      <c r="C97" s="32" t="n"/>
      <c r="D97" s="32" t="n"/>
      <c r="E97" s="32" t="n"/>
      <c r="F97" s="32" t="n"/>
      <c r="G97" s="32" t="n"/>
      <c r="H97" s="48">
        <f>IFERROR(VLOOKUP(A97,F_Tabelle,10,FALSE),"")</f>
        <v/>
      </c>
      <c r="I97" s="49">
        <f>IF(OR(D97="",F97=""),"",IF(F97=0,"",EDATE(D97,F97)))</f>
        <v/>
      </c>
      <c r="J97" s="50">
        <f>IF(I97="","",I97-TODAY())</f>
        <v/>
      </c>
      <c r="K97" s="48">
        <f>IF(OR(E97="",G97=""),"",IF(G97=0,"",E97+G97))</f>
        <v/>
      </c>
      <c r="L97" s="48">
        <f>IF(OR(K97="",H97=""),"",K97-H97)</f>
        <v/>
      </c>
      <c r="M97" s="50">
        <f>IF(AND(J97="",L97=""),"",IF(OR(AND(J97&lt;&gt;"",J97&lt;0),AND(L97&lt;&gt;"",L97&lt;0)),"🔴 Überfällig",IF(OR(AND(J97&lt;&gt;"",J97&lt;=30),AND(L97&lt;&gt;"",L97&lt;=1000)),"🟡 Bald fällig","🟢 OK")))</f>
        <v/>
      </c>
      <c r="N97" s="40" t="n"/>
    </row>
    <row r="98">
      <c r="A98" s="34" t="n"/>
      <c r="B98" s="34" t="n"/>
      <c r="C98" s="34" t="n"/>
      <c r="D98" s="34" t="n"/>
      <c r="E98" s="34" t="n"/>
      <c r="F98" s="34" t="n"/>
      <c r="G98" s="34" t="n"/>
      <c r="H98" s="48">
        <f>IFERROR(VLOOKUP(A98,F_Tabelle,10,FALSE),"")</f>
        <v/>
      </c>
      <c r="I98" s="49">
        <f>IF(OR(D98="",F98=""),"",IF(F98=0,"",EDATE(D98,F98)))</f>
        <v/>
      </c>
      <c r="J98" s="50">
        <f>IF(I98="","",I98-TODAY())</f>
        <v/>
      </c>
      <c r="K98" s="48">
        <f>IF(OR(E98="",G98=""),"",IF(G98=0,"",E98+G98))</f>
        <v/>
      </c>
      <c r="L98" s="48">
        <f>IF(OR(K98="",H98=""),"",K98-H98)</f>
        <v/>
      </c>
      <c r="M98" s="50">
        <f>IF(AND(J98="",L98=""),"",IF(OR(AND(J98&lt;&gt;"",J98&lt;0),AND(L98&lt;&gt;"",L98&lt;0)),"🔴 Überfällig",IF(OR(AND(J98&lt;&gt;"",J98&lt;=30),AND(L98&lt;&gt;"",L98&lt;=1000)),"🟡 Bald fällig","🟢 OK")))</f>
        <v/>
      </c>
      <c r="N98" s="38" t="n"/>
    </row>
    <row r="99">
      <c r="A99" s="32" t="n"/>
      <c r="B99" s="32" t="n"/>
      <c r="C99" s="32" t="n"/>
      <c r="D99" s="32" t="n"/>
      <c r="E99" s="32" t="n"/>
      <c r="F99" s="32" t="n"/>
      <c r="G99" s="32" t="n"/>
      <c r="H99" s="48">
        <f>IFERROR(VLOOKUP(A99,F_Tabelle,10,FALSE),"")</f>
        <v/>
      </c>
      <c r="I99" s="49">
        <f>IF(OR(D99="",F99=""),"",IF(F99=0,"",EDATE(D99,F99)))</f>
        <v/>
      </c>
      <c r="J99" s="50">
        <f>IF(I99="","",I99-TODAY())</f>
        <v/>
      </c>
      <c r="K99" s="48">
        <f>IF(OR(E99="",G99=""),"",IF(G99=0,"",E99+G99))</f>
        <v/>
      </c>
      <c r="L99" s="48">
        <f>IF(OR(K99="",H99=""),"",K99-H99)</f>
        <v/>
      </c>
      <c r="M99" s="50">
        <f>IF(AND(J99="",L99=""),"",IF(OR(AND(J99&lt;&gt;"",J99&lt;0),AND(L99&lt;&gt;"",L99&lt;0)),"🔴 Überfällig",IF(OR(AND(J99&lt;&gt;"",J99&lt;=30),AND(L99&lt;&gt;"",L99&lt;=1000)),"🟡 Bald fällig","🟢 OK")))</f>
        <v/>
      </c>
      <c r="N99" s="40" t="n"/>
    </row>
    <row r="100">
      <c r="A100" s="34" t="n"/>
      <c r="B100" s="34" t="n"/>
      <c r="C100" s="34" t="n"/>
      <c r="D100" s="34" t="n"/>
      <c r="E100" s="34" t="n"/>
      <c r="F100" s="34" t="n"/>
      <c r="G100" s="34" t="n"/>
      <c r="H100" s="48">
        <f>IFERROR(VLOOKUP(A100,F_Tabelle,10,FALSE),"")</f>
        <v/>
      </c>
      <c r="I100" s="49">
        <f>IF(OR(D100="",F100=""),"",IF(F100=0,"",EDATE(D100,F100)))</f>
        <v/>
      </c>
      <c r="J100" s="50">
        <f>IF(I100="","",I100-TODAY())</f>
        <v/>
      </c>
      <c r="K100" s="48">
        <f>IF(OR(E100="",G100=""),"",IF(G100=0,"",E100+G100))</f>
        <v/>
      </c>
      <c r="L100" s="48">
        <f>IF(OR(K100="",H100=""),"",K100-H100)</f>
        <v/>
      </c>
      <c r="M100" s="50">
        <f>IF(AND(J100="",L100=""),"",IF(OR(AND(J100&lt;&gt;"",J100&lt;0),AND(L100&lt;&gt;"",L100&lt;0)),"🔴 Überfällig",IF(OR(AND(J100&lt;&gt;"",J100&lt;=30),AND(L100&lt;&gt;"",L100&lt;=1000)),"🟡 Bald fällig","🟢 OK")))</f>
        <v/>
      </c>
      <c r="N100" s="38" t="n"/>
    </row>
    <row r="101">
      <c r="A101" s="32" t="n"/>
      <c r="B101" s="32" t="n"/>
      <c r="C101" s="32" t="n"/>
      <c r="D101" s="32" t="n"/>
      <c r="E101" s="32" t="n"/>
      <c r="F101" s="32" t="n"/>
      <c r="G101" s="32" t="n"/>
      <c r="H101" s="48">
        <f>IFERROR(VLOOKUP(A101,F_Tabelle,10,FALSE),"")</f>
        <v/>
      </c>
      <c r="I101" s="49">
        <f>IF(OR(D101="",F101=""),"",IF(F101=0,"",EDATE(D101,F101)))</f>
        <v/>
      </c>
      <c r="J101" s="50">
        <f>IF(I101="","",I101-TODAY())</f>
        <v/>
      </c>
      <c r="K101" s="48">
        <f>IF(OR(E101="",G101=""),"",IF(G101=0,"",E101+G101))</f>
        <v/>
      </c>
      <c r="L101" s="48">
        <f>IF(OR(K101="",H101=""),"",K101-H101)</f>
        <v/>
      </c>
      <c r="M101" s="50">
        <f>IF(AND(J101="",L101=""),"",IF(OR(AND(J101&lt;&gt;"",J101&lt;0),AND(L101&lt;&gt;"",L101&lt;0)),"🔴 Überfällig",IF(OR(AND(J101&lt;&gt;"",J101&lt;=30),AND(L101&lt;&gt;"",L101&lt;=1000)),"🟡 Bald fällig","🟢 OK")))</f>
        <v/>
      </c>
      <c r="N101" s="40" t="n"/>
    </row>
    <row r="102">
      <c r="A102" s="34" t="n"/>
      <c r="B102" s="34" t="n"/>
      <c r="C102" s="34" t="n"/>
      <c r="D102" s="34" t="n"/>
      <c r="E102" s="34" t="n"/>
      <c r="F102" s="34" t="n"/>
      <c r="G102" s="34" t="n"/>
      <c r="H102" s="48">
        <f>IFERROR(VLOOKUP(A102,F_Tabelle,10,FALSE),"")</f>
        <v/>
      </c>
      <c r="I102" s="49">
        <f>IF(OR(D102="",F102=""),"",IF(F102=0,"",EDATE(D102,F102)))</f>
        <v/>
      </c>
      <c r="J102" s="50">
        <f>IF(I102="","",I102-TODAY())</f>
        <v/>
      </c>
      <c r="K102" s="48">
        <f>IF(OR(E102="",G102=""),"",IF(G102=0,"",E102+G102))</f>
        <v/>
      </c>
      <c r="L102" s="48">
        <f>IF(OR(K102="",H102=""),"",K102-H102)</f>
        <v/>
      </c>
      <c r="M102" s="50">
        <f>IF(AND(J102="",L102=""),"",IF(OR(AND(J102&lt;&gt;"",J102&lt;0),AND(L102&lt;&gt;"",L102&lt;0)),"🔴 Überfällig",IF(OR(AND(J102&lt;&gt;"",J102&lt;=30),AND(L102&lt;&gt;"",L102&lt;=1000)),"🟡 Bald fällig","🟢 OK")))</f>
        <v/>
      </c>
      <c r="N102" s="38" t="n"/>
    </row>
    <row r="103">
      <c r="A103" s="32" t="n"/>
      <c r="B103" s="32" t="n"/>
      <c r="C103" s="32" t="n"/>
      <c r="D103" s="32" t="n"/>
      <c r="E103" s="32" t="n"/>
      <c r="F103" s="32" t="n"/>
      <c r="G103" s="32" t="n"/>
      <c r="H103" s="48">
        <f>IFERROR(VLOOKUP(A103,F_Tabelle,10,FALSE),"")</f>
        <v/>
      </c>
      <c r="I103" s="49">
        <f>IF(OR(D103="",F103=""),"",IF(F103=0,"",EDATE(D103,F103)))</f>
        <v/>
      </c>
      <c r="J103" s="50">
        <f>IF(I103="","",I103-TODAY())</f>
        <v/>
      </c>
      <c r="K103" s="48">
        <f>IF(OR(E103="",G103=""),"",IF(G103=0,"",E103+G103))</f>
        <v/>
      </c>
      <c r="L103" s="48">
        <f>IF(OR(K103="",H103=""),"",K103-H103)</f>
        <v/>
      </c>
      <c r="M103" s="50">
        <f>IF(AND(J103="",L103=""),"",IF(OR(AND(J103&lt;&gt;"",J103&lt;0),AND(L103&lt;&gt;"",L103&lt;0)),"🔴 Überfällig",IF(OR(AND(J103&lt;&gt;"",J103&lt;=30),AND(L103&lt;&gt;"",L103&lt;=1000)),"🟡 Bald fällig","🟢 OK")))</f>
        <v/>
      </c>
      <c r="N103" s="40" t="n"/>
    </row>
    <row r="104">
      <c r="A104" s="34" t="n"/>
      <c r="B104" s="34" t="n"/>
      <c r="C104" s="34" t="n"/>
      <c r="D104" s="34" t="n"/>
      <c r="E104" s="34" t="n"/>
      <c r="F104" s="34" t="n"/>
      <c r="G104" s="34" t="n"/>
      <c r="H104" s="48">
        <f>IFERROR(VLOOKUP(A104,F_Tabelle,10,FALSE),"")</f>
        <v/>
      </c>
      <c r="I104" s="49">
        <f>IF(OR(D104="",F104=""),"",IF(F104=0,"",EDATE(D104,F104)))</f>
        <v/>
      </c>
      <c r="J104" s="50">
        <f>IF(I104="","",I104-TODAY())</f>
        <v/>
      </c>
      <c r="K104" s="48">
        <f>IF(OR(E104="",G104=""),"",IF(G104=0,"",E104+G104))</f>
        <v/>
      </c>
      <c r="L104" s="48">
        <f>IF(OR(K104="",H104=""),"",K104-H104)</f>
        <v/>
      </c>
      <c r="M104" s="50">
        <f>IF(AND(J104="",L104=""),"",IF(OR(AND(J104&lt;&gt;"",J104&lt;0),AND(L104&lt;&gt;"",L104&lt;0)),"🔴 Überfällig",IF(OR(AND(J104&lt;&gt;"",J104&lt;=30),AND(L104&lt;&gt;"",L104&lt;=1000)),"🟡 Bald fällig","🟢 OK")))</f>
        <v/>
      </c>
      <c r="N104" s="38" t="n"/>
    </row>
    <row r="105">
      <c r="A105" s="32" t="n"/>
      <c r="B105" s="32" t="n"/>
      <c r="C105" s="32" t="n"/>
      <c r="D105" s="32" t="n"/>
      <c r="E105" s="32" t="n"/>
      <c r="F105" s="32" t="n"/>
      <c r="G105" s="32" t="n"/>
      <c r="H105" s="48">
        <f>IFERROR(VLOOKUP(A105,F_Tabelle,10,FALSE),"")</f>
        <v/>
      </c>
      <c r="I105" s="49">
        <f>IF(OR(D105="",F105=""),"",IF(F105=0,"",EDATE(D105,F105)))</f>
        <v/>
      </c>
      <c r="J105" s="50">
        <f>IF(I105="","",I105-TODAY())</f>
        <v/>
      </c>
      <c r="K105" s="48">
        <f>IF(OR(E105="",G105=""),"",IF(G105=0,"",E105+G105))</f>
        <v/>
      </c>
      <c r="L105" s="48">
        <f>IF(OR(K105="",H105=""),"",K105-H105)</f>
        <v/>
      </c>
      <c r="M105" s="50">
        <f>IF(AND(J105="",L105=""),"",IF(OR(AND(J105&lt;&gt;"",J105&lt;0),AND(L105&lt;&gt;"",L105&lt;0)),"🔴 Überfällig",IF(OR(AND(J105&lt;&gt;"",J105&lt;=30),AND(L105&lt;&gt;"",L105&lt;=1000)),"🟡 Bald fällig","🟢 OK")))</f>
        <v/>
      </c>
      <c r="N105" s="40" t="n"/>
    </row>
    <row r="106">
      <c r="A106" s="34" t="n"/>
      <c r="B106" s="34" t="n"/>
      <c r="C106" s="34" t="n"/>
      <c r="D106" s="34" t="n"/>
      <c r="E106" s="34" t="n"/>
      <c r="F106" s="34" t="n"/>
      <c r="G106" s="34" t="n"/>
      <c r="H106" s="48">
        <f>IFERROR(VLOOKUP(A106,F_Tabelle,10,FALSE),"")</f>
        <v/>
      </c>
      <c r="I106" s="49">
        <f>IF(OR(D106="",F106=""),"",IF(F106=0,"",EDATE(D106,F106)))</f>
        <v/>
      </c>
      <c r="J106" s="50">
        <f>IF(I106="","",I106-TODAY())</f>
        <v/>
      </c>
      <c r="K106" s="48">
        <f>IF(OR(E106="",G106=""),"",IF(G106=0,"",E106+G106))</f>
        <v/>
      </c>
      <c r="L106" s="48">
        <f>IF(OR(K106="",H106=""),"",K106-H106)</f>
        <v/>
      </c>
      <c r="M106" s="50">
        <f>IF(AND(J106="",L106=""),"",IF(OR(AND(J106&lt;&gt;"",J106&lt;0),AND(L106&lt;&gt;"",L106&lt;0)),"🔴 Überfällig",IF(OR(AND(J106&lt;&gt;"",J106&lt;=30),AND(L106&lt;&gt;"",L106&lt;=1000)),"🟡 Bald fällig","🟢 OK")))</f>
        <v/>
      </c>
      <c r="N106" s="38" t="n"/>
    </row>
    <row r="107">
      <c r="A107" s="32" t="n"/>
      <c r="B107" s="32" t="n"/>
      <c r="C107" s="32" t="n"/>
      <c r="D107" s="32" t="n"/>
      <c r="E107" s="32" t="n"/>
      <c r="F107" s="32" t="n"/>
      <c r="G107" s="32" t="n"/>
      <c r="H107" s="48">
        <f>IFERROR(VLOOKUP(A107,F_Tabelle,10,FALSE),"")</f>
        <v/>
      </c>
      <c r="I107" s="49">
        <f>IF(OR(D107="",F107=""),"",IF(F107=0,"",EDATE(D107,F107)))</f>
        <v/>
      </c>
      <c r="J107" s="50">
        <f>IF(I107="","",I107-TODAY())</f>
        <v/>
      </c>
      <c r="K107" s="48">
        <f>IF(OR(E107="",G107=""),"",IF(G107=0,"",E107+G107))</f>
        <v/>
      </c>
      <c r="L107" s="48">
        <f>IF(OR(K107="",H107=""),"",K107-H107)</f>
        <v/>
      </c>
      <c r="M107" s="50">
        <f>IF(AND(J107="",L107=""),"",IF(OR(AND(J107&lt;&gt;"",J107&lt;0),AND(L107&lt;&gt;"",L107&lt;0)),"🔴 Überfällig",IF(OR(AND(J107&lt;&gt;"",J107&lt;=30),AND(L107&lt;&gt;"",L107&lt;=1000)),"🟡 Bald fällig","🟢 OK")))</f>
        <v/>
      </c>
      <c r="N107" s="40" t="n"/>
    </row>
    <row r="108">
      <c r="A108" s="34" t="n"/>
      <c r="B108" s="34" t="n"/>
      <c r="C108" s="34" t="n"/>
      <c r="D108" s="34" t="n"/>
      <c r="E108" s="34" t="n"/>
      <c r="F108" s="34" t="n"/>
      <c r="G108" s="34" t="n"/>
      <c r="H108" s="48">
        <f>IFERROR(VLOOKUP(A108,F_Tabelle,10,FALSE),"")</f>
        <v/>
      </c>
      <c r="I108" s="49">
        <f>IF(OR(D108="",F108=""),"",IF(F108=0,"",EDATE(D108,F108)))</f>
        <v/>
      </c>
      <c r="J108" s="50">
        <f>IF(I108="","",I108-TODAY())</f>
        <v/>
      </c>
      <c r="K108" s="48">
        <f>IF(OR(E108="",G108=""),"",IF(G108=0,"",E108+G108))</f>
        <v/>
      </c>
      <c r="L108" s="48">
        <f>IF(OR(K108="",H108=""),"",K108-H108)</f>
        <v/>
      </c>
      <c r="M108" s="50">
        <f>IF(AND(J108="",L108=""),"",IF(OR(AND(J108&lt;&gt;"",J108&lt;0),AND(L108&lt;&gt;"",L108&lt;0)),"🔴 Überfällig",IF(OR(AND(J108&lt;&gt;"",J108&lt;=30),AND(L108&lt;&gt;"",L108&lt;=1000)),"🟡 Bald fällig","🟢 OK")))</f>
        <v/>
      </c>
      <c r="N108" s="38" t="n"/>
    </row>
    <row r="109">
      <c r="A109" s="32" t="n"/>
      <c r="B109" s="32" t="n"/>
      <c r="C109" s="32" t="n"/>
      <c r="D109" s="32" t="n"/>
      <c r="E109" s="32" t="n"/>
      <c r="F109" s="32" t="n"/>
      <c r="G109" s="32" t="n"/>
      <c r="H109" s="48">
        <f>IFERROR(VLOOKUP(A109,F_Tabelle,10,FALSE),"")</f>
        <v/>
      </c>
      <c r="I109" s="49">
        <f>IF(OR(D109="",F109=""),"",IF(F109=0,"",EDATE(D109,F109)))</f>
        <v/>
      </c>
      <c r="J109" s="50">
        <f>IF(I109="","",I109-TODAY())</f>
        <v/>
      </c>
      <c r="K109" s="48">
        <f>IF(OR(E109="",G109=""),"",IF(G109=0,"",E109+G109))</f>
        <v/>
      </c>
      <c r="L109" s="48">
        <f>IF(OR(K109="",H109=""),"",K109-H109)</f>
        <v/>
      </c>
      <c r="M109" s="50">
        <f>IF(AND(J109="",L109=""),"",IF(OR(AND(J109&lt;&gt;"",J109&lt;0),AND(L109&lt;&gt;"",L109&lt;0)),"🔴 Überfällig",IF(OR(AND(J109&lt;&gt;"",J109&lt;=30),AND(L109&lt;&gt;"",L109&lt;=1000)),"🟡 Bald fällig","🟢 OK")))</f>
        <v/>
      </c>
      <c r="N109" s="40" t="n"/>
    </row>
    <row r="110">
      <c r="A110" s="34" t="n"/>
      <c r="B110" s="34" t="n"/>
      <c r="C110" s="34" t="n"/>
      <c r="D110" s="34" t="n"/>
      <c r="E110" s="34" t="n"/>
      <c r="F110" s="34" t="n"/>
      <c r="G110" s="34" t="n"/>
      <c r="H110" s="48">
        <f>IFERROR(VLOOKUP(A110,F_Tabelle,10,FALSE),"")</f>
        <v/>
      </c>
      <c r="I110" s="49">
        <f>IF(OR(D110="",F110=""),"",IF(F110=0,"",EDATE(D110,F110)))</f>
        <v/>
      </c>
      <c r="J110" s="50">
        <f>IF(I110="","",I110-TODAY())</f>
        <v/>
      </c>
      <c r="K110" s="48">
        <f>IF(OR(E110="",G110=""),"",IF(G110=0,"",E110+G110))</f>
        <v/>
      </c>
      <c r="L110" s="48">
        <f>IF(OR(K110="",H110=""),"",K110-H110)</f>
        <v/>
      </c>
      <c r="M110" s="50">
        <f>IF(AND(J110="",L110=""),"",IF(OR(AND(J110&lt;&gt;"",J110&lt;0),AND(L110&lt;&gt;"",L110&lt;0)),"🔴 Überfällig",IF(OR(AND(J110&lt;&gt;"",J110&lt;=30),AND(L110&lt;&gt;"",L110&lt;=1000)),"🟡 Bald fällig","🟢 OK")))</f>
        <v/>
      </c>
      <c r="N110" s="38" t="n"/>
    </row>
    <row r="111">
      <c r="A111" s="32" t="n"/>
      <c r="B111" s="32" t="n"/>
      <c r="C111" s="32" t="n"/>
      <c r="D111" s="32" t="n"/>
      <c r="E111" s="32" t="n"/>
      <c r="F111" s="32" t="n"/>
      <c r="G111" s="32" t="n"/>
      <c r="H111" s="48">
        <f>IFERROR(VLOOKUP(A111,F_Tabelle,10,FALSE),"")</f>
        <v/>
      </c>
      <c r="I111" s="49">
        <f>IF(OR(D111="",F111=""),"",IF(F111=0,"",EDATE(D111,F111)))</f>
        <v/>
      </c>
      <c r="J111" s="50">
        <f>IF(I111="","",I111-TODAY())</f>
        <v/>
      </c>
      <c r="K111" s="48">
        <f>IF(OR(E111="",G111=""),"",IF(G111=0,"",E111+G111))</f>
        <v/>
      </c>
      <c r="L111" s="48">
        <f>IF(OR(K111="",H111=""),"",K111-H111)</f>
        <v/>
      </c>
      <c r="M111" s="50">
        <f>IF(AND(J111="",L111=""),"",IF(OR(AND(J111&lt;&gt;"",J111&lt;0),AND(L111&lt;&gt;"",L111&lt;0)),"🔴 Überfällig",IF(OR(AND(J111&lt;&gt;"",J111&lt;=30),AND(L111&lt;&gt;"",L111&lt;=1000)),"🟡 Bald fällig","🟢 OK")))</f>
        <v/>
      </c>
      <c r="N111" s="40" t="n"/>
    </row>
    <row r="112">
      <c r="A112" s="34" t="n"/>
      <c r="B112" s="34" t="n"/>
      <c r="C112" s="34" t="n"/>
      <c r="D112" s="34" t="n"/>
      <c r="E112" s="34" t="n"/>
      <c r="F112" s="34" t="n"/>
      <c r="G112" s="34" t="n"/>
      <c r="H112" s="48">
        <f>IFERROR(VLOOKUP(A112,F_Tabelle,10,FALSE),"")</f>
        <v/>
      </c>
      <c r="I112" s="49">
        <f>IF(OR(D112="",F112=""),"",IF(F112=0,"",EDATE(D112,F112)))</f>
        <v/>
      </c>
      <c r="J112" s="50">
        <f>IF(I112="","",I112-TODAY())</f>
        <v/>
      </c>
      <c r="K112" s="48">
        <f>IF(OR(E112="",G112=""),"",IF(G112=0,"",E112+G112))</f>
        <v/>
      </c>
      <c r="L112" s="48">
        <f>IF(OR(K112="",H112=""),"",K112-H112)</f>
        <v/>
      </c>
      <c r="M112" s="50">
        <f>IF(AND(J112="",L112=""),"",IF(OR(AND(J112&lt;&gt;"",J112&lt;0),AND(L112&lt;&gt;"",L112&lt;0)),"🔴 Überfällig",IF(OR(AND(J112&lt;&gt;"",J112&lt;=30),AND(L112&lt;&gt;"",L112&lt;=1000)),"🟡 Bald fällig","🟢 OK")))</f>
        <v/>
      </c>
      <c r="N112" s="38" t="n"/>
    </row>
    <row r="113">
      <c r="A113" s="32" t="n"/>
      <c r="B113" s="32" t="n"/>
      <c r="C113" s="32" t="n"/>
      <c r="D113" s="32" t="n"/>
      <c r="E113" s="32" t="n"/>
      <c r="F113" s="32" t="n"/>
      <c r="G113" s="32" t="n"/>
      <c r="H113" s="48">
        <f>IFERROR(VLOOKUP(A113,F_Tabelle,10,FALSE),"")</f>
        <v/>
      </c>
      <c r="I113" s="49">
        <f>IF(OR(D113="",F113=""),"",IF(F113=0,"",EDATE(D113,F113)))</f>
        <v/>
      </c>
      <c r="J113" s="50">
        <f>IF(I113="","",I113-TODAY())</f>
        <v/>
      </c>
      <c r="K113" s="48">
        <f>IF(OR(E113="",G113=""),"",IF(G113=0,"",E113+G113))</f>
        <v/>
      </c>
      <c r="L113" s="48">
        <f>IF(OR(K113="",H113=""),"",K113-H113)</f>
        <v/>
      </c>
      <c r="M113" s="50">
        <f>IF(AND(J113="",L113=""),"",IF(OR(AND(J113&lt;&gt;"",J113&lt;0),AND(L113&lt;&gt;"",L113&lt;0)),"🔴 Überfällig",IF(OR(AND(J113&lt;&gt;"",J113&lt;=30),AND(L113&lt;&gt;"",L113&lt;=1000)),"🟡 Bald fällig","🟢 OK")))</f>
        <v/>
      </c>
      <c r="N113" s="40" t="n"/>
    </row>
    <row r="114">
      <c r="A114" s="34" t="n"/>
      <c r="B114" s="34" t="n"/>
      <c r="C114" s="34" t="n"/>
      <c r="D114" s="34" t="n"/>
      <c r="E114" s="34" t="n"/>
      <c r="F114" s="34" t="n"/>
      <c r="G114" s="34" t="n"/>
      <c r="H114" s="48">
        <f>IFERROR(VLOOKUP(A114,F_Tabelle,10,FALSE),"")</f>
        <v/>
      </c>
      <c r="I114" s="49">
        <f>IF(OR(D114="",F114=""),"",IF(F114=0,"",EDATE(D114,F114)))</f>
        <v/>
      </c>
      <c r="J114" s="50">
        <f>IF(I114="","",I114-TODAY())</f>
        <v/>
      </c>
      <c r="K114" s="48">
        <f>IF(OR(E114="",G114=""),"",IF(G114=0,"",E114+G114))</f>
        <v/>
      </c>
      <c r="L114" s="48">
        <f>IF(OR(K114="",H114=""),"",K114-H114)</f>
        <v/>
      </c>
      <c r="M114" s="50">
        <f>IF(AND(J114="",L114=""),"",IF(OR(AND(J114&lt;&gt;"",J114&lt;0),AND(L114&lt;&gt;"",L114&lt;0)),"🔴 Überfällig",IF(OR(AND(J114&lt;&gt;"",J114&lt;=30),AND(L114&lt;&gt;"",L114&lt;=1000)),"🟡 Bald fällig","🟢 OK")))</f>
        <v/>
      </c>
      <c r="N114" s="38" t="n"/>
    </row>
    <row r="115">
      <c r="A115" s="32" t="n"/>
      <c r="B115" s="32" t="n"/>
      <c r="C115" s="32" t="n"/>
      <c r="D115" s="32" t="n"/>
      <c r="E115" s="32" t="n"/>
      <c r="F115" s="32" t="n"/>
      <c r="G115" s="32" t="n"/>
      <c r="H115" s="48">
        <f>IFERROR(VLOOKUP(A115,F_Tabelle,10,FALSE),"")</f>
        <v/>
      </c>
      <c r="I115" s="49">
        <f>IF(OR(D115="",F115=""),"",IF(F115=0,"",EDATE(D115,F115)))</f>
        <v/>
      </c>
      <c r="J115" s="50">
        <f>IF(I115="","",I115-TODAY())</f>
        <v/>
      </c>
      <c r="K115" s="48">
        <f>IF(OR(E115="",G115=""),"",IF(G115=0,"",E115+G115))</f>
        <v/>
      </c>
      <c r="L115" s="48">
        <f>IF(OR(K115="",H115=""),"",K115-H115)</f>
        <v/>
      </c>
      <c r="M115" s="50">
        <f>IF(AND(J115="",L115=""),"",IF(OR(AND(J115&lt;&gt;"",J115&lt;0),AND(L115&lt;&gt;"",L115&lt;0)),"🔴 Überfällig",IF(OR(AND(J115&lt;&gt;"",J115&lt;=30),AND(L115&lt;&gt;"",L115&lt;=1000)),"🟡 Bald fällig","🟢 OK")))</f>
        <v/>
      </c>
      <c r="N115" s="40" t="n"/>
    </row>
    <row r="116">
      <c r="A116" s="34" t="n"/>
      <c r="B116" s="34" t="n"/>
      <c r="C116" s="34" t="n"/>
      <c r="D116" s="34" t="n"/>
      <c r="E116" s="34" t="n"/>
      <c r="F116" s="34" t="n"/>
      <c r="G116" s="34" t="n"/>
      <c r="H116" s="48">
        <f>IFERROR(VLOOKUP(A116,F_Tabelle,10,FALSE),"")</f>
        <v/>
      </c>
      <c r="I116" s="49">
        <f>IF(OR(D116="",F116=""),"",IF(F116=0,"",EDATE(D116,F116)))</f>
        <v/>
      </c>
      <c r="J116" s="50">
        <f>IF(I116="","",I116-TODAY())</f>
        <v/>
      </c>
      <c r="K116" s="48">
        <f>IF(OR(E116="",G116=""),"",IF(G116=0,"",E116+G116))</f>
        <v/>
      </c>
      <c r="L116" s="48">
        <f>IF(OR(K116="",H116=""),"",K116-H116)</f>
        <v/>
      </c>
      <c r="M116" s="50">
        <f>IF(AND(J116="",L116=""),"",IF(OR(AND(J116&lt;&gt;"",J116&lt;0),AND(L116&lt;&gt;"",L116&lt;0)),"🔴 Überfällig",IF(OR(AND(J116&lt;&gt;"",J116&lt;=30),AND(L116&lt;&gt;"",L116&lt;=1000)),"🟡 Bald fällig","🟢 OK")))</f>
        <v/>
      </c>
      <c r="N116" s="38" t="n"/>
    </row>
    <row r="117">
      <c r="A117" s="32" t="n"/>
      <c r="B117" s="32" t="n"/>
      <c r="C117" s="32" t="n"/>
      <c r="D117" s="32" t="n"/>
      <c r="E117" s="32" t="n"/>
      <c r="F117" s="32" t="n"/>
      <c r="G117" s="32" t="n"/>
      <c r="H117" s="48">
        <f>IFERROR(VLOOKUP(A117,F_Tabelle,10,FALSE),"")</f>
        <v/>
      </c>
      <c r="I117" s="49">
        <f>IF(OR(D117="",F117=""),"",IF(F117=0,"",EDATE(D117,F117)))</f>
        <v/>
      </c>
      <c r="J117" s="50">
        <f>IF(I117="","",I117-TODAY())</f>
        <v/>
      </c>
      <c r="K117" s="48">
        <f>IF(OR(E117="",G117=""),"",IF(G117=0,"",E117+G117))</f>
        <v/>
      </c>
      <c r="L117" s="48">
        <f>IF(OR(K117="",H117=""),"",K117-H117)</f>
        <v/>
      </c>
      <c r="M117" s="50">
        <f>IF(AND(J117="",L117=""),"",IF(OR(AND(J117&lt;&gt;"",J117&lt;0),AND(L117&lt;&gt;"",L117&lt;0)),"🔴 Überfällig",IF(OR(AND(J117&lt;&gt;"",J117&lt;=30),AND(L117&lt;&gt;"",L117&lt;=1000)),"🟡 Bald fällig","🟢 OK")))</f>
        <v/>
      </c>
      <c r="N117" s="40" t="n"/>
    </row>
    <row r="118">
      <c r="A118" s="34" t="n"/>
      <c r="B118" s="34" t="n"/>
      <c r="C118" s="34" t="n"/>
      <c r="D118" s="34" t="n"/>
      <c r="E118" s="34" t="n"/>
      <c r="F118" s="34" t="n"/>
      <c r="G118" s="34" t="n"/>
      <c r="H118" s="48">
        <f>IFERROR(VLOOKUP(A118,F_Tabelle,10,FALSE),"")</f>
        <v/>
      </c>
      <c r="I118" s="49">
        <f>IF(OR(D118="",F118=""),"",IF(F118=0,"",EDATE(D118,F118)))</f>
        <v/>
      </c>
      <c r="J118" s="50">
        <f>IF(I118="","",I118-TODAY())</f>
        <v/>
      </c>
      <c r="K118" s="48">
        <f>IF(OR(E118="",G118=""),"",IF(G118=0,"",E118+G118))</f>
        <v/>
      </c>
      <c r="L118" s="48">
        <f>IF(OR(K118="",H118=""),"",K118-H118)</f>
        <v/>
      </c>
      <c r="M118" s="50">
        <f>IF(AND(J118="",L118=""),"",IF(OR(AND(J118&lt;&gt;"",J118&lt;0),AND(L118&lt;&gt;"",L118&lt;0)),"🔴 Überfällig",IF(OR(AND(J118&lt;&gt;"",J118&lt;=30),AND(L118&lt;&gt;"",L118&lt;=1000)),"🟡 Bald fällig","🟢 OK")))</f>
        <v/>
      </c>
      <c r="N118" s="38" t="n"/>
    </row>
    <row r="119">
      <c r="A119" s="32" t="n"/>
      <c r="B119" s="32" t="n"/>
      <c r="C119" s="32" t="n"/>
      <c r="D119" s="32" t="n"/>
      <c r="E119" s="32" t="n"/>
      <c r="F119" s="32" t="n"/>
      <c r="G119" s="32" t="n"/>
      <c r="H119" s="48">
        <f>IFERROR(VLOOKUP(A119,F_Tabelle,10,FALSE),"")</f>
        <v/>
      </c>
      <c r="I119" s="49">
        <f>IF(OR(D119="",F119=""),"",IF(F119=0,"",EDATE(D119,F119)))</f>
        <v/>
      </c>
      <c r="J119" s="50">
        <f>IF(I119="","",I119-TODAY())</f>
        <v/>
      </c>
      <c r="K119" s="48">
        <f>IF(OR(E119="",G119=""),"",IF(G119=0,"",E119+G119))</f>
        <v/>
      </c>
      <c r="L119" s="48">
        <f>IF(OR(K119="",H119=""),"",K119-H119)</f>
        <v/>
      </c>
      <c r="M119" s="50">
        <f>IF(AND(J119="",L119=""),"",IF(OR(AND(J119&lt;&gt;"",J119&lt;0),AND(L119&lt;&gt;"",L119&lt;0)),"🔴 Überfällig",IF(OR(AND(J119&lt;&gt;"",J119&lt;=30),AND(L119&lt;&gt;"",L119&lt;=1000)),"🟡 Bald fällig","🟢 OK")))</f>
        <v/>
      </c>
      <c r="N119" s="40" t="n"/>
    </row>
    <row r="120">
      <c r="A120" s="34" t="n"/>
      <c r="B120" s="34" t="n"/>
      <c r="C120" s="34" t="n"/>
      <c r="D120" s="34" t="n"/>
      <c r="E120" s="34" t="n"/>
      <c r="F120" s="34" t="n"/>
      <c r="G120" s="34" t="n"/>
      <c r="H120" s="48">
        <f>IFERROR(VLOOKUP(A120,F_Tabelle,10,FALSE),"")</f>
        <v/>
      </c>
      <c r="I120" s="49">
        <f>IF(OR(D120="",F120=""),"",IF(F120=0,"",EDATE(D120,F120)))</f>
        <v/>
      </c>
      <c r="J120" s="50">
        <f>IF(I120="","",I120-TODAY())</f>
        <v/>
      </c>
      <c r="K120" s="48">
        <f>IF(OR(E120="",G120=""),"",IF(G120=0,"",E120+G120))</f>
        <v/>
      </c>
      <c r="L120" s="48">
        <f>IF(OR(K120="",H120=""),"",K120-H120)</f>
        <v/>
      </c>
      <c r="M120" s="50">
        <f>IF(AND(J120="",L120=""),"",IF(OR(AND(J120&lt;&gt;"",J120&lt;0),AND(L120&lt;&gt;"",L120&lt;0)),"🔴 Überfällig",IF(OR(AND(J120&lt;&gt;"",J120&lt;=30),AND(L120&lt;&gt;"",L120&lt;=1000)),"🟡 Bald fällig","🟢 OK")))</f>
        <v/>
      </c>
      <c r="N120" s="38" t="n"/>
    </row>
    <row r="121">
      <c r="A121" s="32" t="n"/>
      <c r="B121" s="32" t="n"/>
      <c r="C121" s="32" t="n"/>
      <c r="D121" s="32" t="n"/>
      <c r="E121" s="32" t="n"/>
      <c r="F121" s="32" t="n"/>
      <c r="G121" s="32" t="n"/>
      <c r="H121" s="48">
        <f>IFERROR(VLOOKUP(A121,F_Tabelle,10,FALSE),"")</f>
        <v/>
      </c>
      <c r="I121" s="49">
        <f>IF(OR(D121="",F121=""),"",IF(F121=0,"",EDATE(D121,F121)))</f>
        <v/>
      </c>
      <c r="J121" s="50">
        <f>IF(I121="","",I121-TODAY())</f>
        <v/>
      </c>
      <c r="K121" s="48">
        <f>IF(OR(E121="",G121=""),"",IF(G121=0,"",E121+G121))</f>
        <v/>
      </c>
      <c r="L121" s="48">
        <f>IF(OR(K121="",H121=""),"",K121-H121)</f>
        <v/>
      </c>
      <c r="M121" s="50">
        <f>IF(AND(J121="",L121=""),"",IF(OR(AND(J121&lt;&gt;"",J121&lt;0),AND(L121&lt;&gt;"",L121&lt;0)),"🔴 Überfällig",IF(OR(AND(J121&lt;&gt;"",J121&lt;=30),AND(L121&lt;&gt;"",L121&lt;=1000)),"🟡 Bald fällig","🟢 OK")))</f>
        <v/>
      </c>
      <c r="N121" s="40" t="n"/>
    </row>
    <row r="122">
      <c r="A122" s="34" t="n"/>
      <c r="B122" s="34" t="n"/>
      <c r="C122" s="34" t="n"/>
      <c r="D122" s="34" t="n"/>
      <c r="E122" s="34" t="n"/>
      <c r="F122" s="34" t="n"/>
      <c r="G122" s="34" t="n"/>
      <c r="H122" s="48">
        <f>IFERROR(VLOOKUP(A122,F_Tabelle,10,FALSE),"")</f>
        <v/>
      </c>
      <c r="I122" s="49">
        <f>IF(OR(D122="",F122=""),"",IF(F122=0,"",EDATE(D122,F122)))</f>
        <v/>
      </c>
      <c r="J122" s="50">
        <f>IF(I122="","",I122-TODAY())</f>
        <v/>
      </c>
      <c r="K122" s="48">
        <f>IF(OR(E122="",G122=""),"",IF(G122=0,"",E122+G122))</f>
        <v/>
      </c>
      <c r="L122" s="48">
        <f>IF(OR(K122="",H122=""),"",K122-H122)</f>
        <v/>
      </c>
      <c r="M122" s="50">
        <f>IF(AND(J122="",L122=""),"",IF(OR(AND(J122&lt;&gt;"",J122&lt;0),AND(L122&lt;&gt;"",L122&lt;0)),"🔴 Überfällig",IF(OR(AND(J122&lt;&gt;"",J122&lt;=30),AND(L122&lt;&gt;"",L122&lt;=1000)),"🟡 Bald fällig","🟢 OK")))</f>
        <v/>
      </c>
      <c r="N122" s="38" t="n"/>
    </row>
    <row r="123">
      <c r="A123" s="32" t="n"/>
      <c r="B123" s="32" t="n"/>
      <c r="C123" s="32" t="n"/>
      <c r="D123" s="32" t="n"/>
      <c r="E123" s="32" t="n"/>
      <c r="F123" s="32" t="n"/>
      <c r="G123" s="32" t="n"/>
      <c r="H123" s="48">
        <f>IFERROR(VLOOKUP(A123,F_Tabelle,10,FALSE),"")</f>
        <v/>
      </c>
      <c r="I123" s="49">
        <f>IF(OR(D123="",F123=""),"",IF(F123=0,"",EDATE(D123,F123)))</f>
        <v/>
      </c>
      <c r="J123" s="50">
        <f>IF(I123="","",I123-TODAY())</f>
        <v/>
      </c>
      <c r="K123" s="48">
        <f>IF(OR(E123="",G123=""),"",IF(G123=0,"",E123+G123))</f>
        <v/>
      </c>
      <c r="L123" s="48">
        <f>IF(OR(K123="",H123=""),"",K123-H123)</f>
        <v/>
      </c>
      <c r="M123" s="50">
        <f>IF(AND(J123="",L123=""),"",IF(OR(AND(J123&lt;&gt;"",J123&lt;0),AND(L123&lt;&gt;"",L123&lt;0)),"🔴 Überfällig",IF(OR(AND(J123&lt;&gt;"",J123&lt;=30),AND(L123&lt;&gt;"",L123&lt;=1000)),"🟡 Bald fällig","🟢 OK")))</f>
        <v/>
      </c>
      <c r="N123" s="40" t="n"/>
    </row>
    <row r="124">
      <c r="A124" s="34" t="n"/>
      <c r="B124" s="34" t="n"/>
      <c r="C124" s="34" t="n"/>
      <c r="D124" s="34" t="n"/>
      <c r="E124" s="34" t="n"/>
      <c r="F124" s="34" t="n"/>
      <c r="G124" s="34" t="n"/>
      <c r="H124" s="48">
        <f>IFERROR(VLOOKUP(A124,F_Tabelle,10,FALSE),"")</f>
        <v/>
      </c>
      <c r="I124" s="49">
        <f>IF(OR(D124="",F124=""),"",IF(F124=0,"",EDATE(D124,F124)))</f>
        <v/>
      </c>
      <c r="J124" s="50">
        <f>IF(I124="","",I124-TODAY())</f>
        <v/>
      </c>
      <c r="K124" s="48">
        <f>IF(OR(E124="",G124=""),"",IF(G124=0,"",E124+G124))</f>
        <v/>
      </c>
      <c r="L124" s="48">
        <f>IF(OR(K124="",H124=""),"",K124-H124)</f>
        <v/>
      </c>
      <c r="M124" s="50">
        <f>IF(AND(J124="",L124=""),"",IF(OR(AND(J124&lt;&gt;"",J124&lt;0),AND(L124&lt;&gt;"",L124&lt;0)),"🔴 Überfällig",IF(OR(AND(J124&lt;&gt;"",J124&lt;=30),AND(L124&lt;&gt;"",L124&lt;=1000)),"🟡 Bald fällig","🟢 OK")))</f>
        <v/>
      </c>
      <c r="N124" s="38" t="n"/>
    </row>
    <row r="125">
      <c r="A125" s="32" t="n"/>
      <c r="B125" s="32" t="n"/>
      <c r="C125" s="32" t="n"/>
      <c r="D125" s="32" t="n"/>
      <c r="E125" s="32" t="n"/>
      <c r="F125" s="32" t="n"/>
      <c r="G125" s="32" t="n"/>
      <c r="H125" s="48">
        <f>IFERROR(VLOOKUP(A125,F_Tabelle,10,FALSE),"")</f>
        <v/>
      </c>
      <c r="I125" s="49">
        <f>IF(OR(D125="",F125=""),"",IF(F125=0,"",EDATE(D125,F125)))</f>
        <v/>
      </c>
      <c r="J125" s="50">
        <f>IF(I125="","",I125-TODAY())</f>
        <v/>
      </c>
      <c r="K125" s="48">
        <f>IF(OR(E125="",G125=""),"",IF(G125=0,"",E125+G125))</f>
        <v/>
      </c>
      <c r="L125" s="48">
        <f>IF(OR(K125="",H125=""),"",K125-H125)</f>
        <v/>
      </c>
      <c r="M125" s="50">
        <f>IF(AND(J125="",L125=""),"",IF(OR(AND(J125&lt;&gt;"",J125&lt;0),AND(L125&lt;&gt;"",L125&lt;0)),"🔴 Überfällig",IF(OR(AND(J125&lt;&gt;"",J125&lt;=30),AND(L125&lt;&gt;"",L125&lt;=1000)),"🟡 Bald fällig","🟢 OK")))</f>
        <v/>
      </c>
      <c r="N125" s="40" t="n"/>
    </row>
    <row r="126">
      <c r="A126" s="34" t="n"/>
      <c r="B126" s="34" t="n"/>
      <c r="C126" s="34" t="n"/>
      <c r="D126" s="34" t="n"/>
      <c r="E126" s="34" t="n"/>
      <c r="F126" s="34" t="n"/>
      <c r="G126" s="34" t="n"/>
      <c r="H126" s="48">
        <f>IFERROR(VLOOKUP(A126,F_Tabelle,10,FALSE),"")</f>
        <v/>
      </c>
      <c r="I126" s="49">
        <f>IF(OR(D126="",F126=""),"",IF(F126=0,"",EDATE(D126,F126)))</f>
        <v/>
      </c>
      <c r="J126" s="50">
        <f>IF(I126="","",I126-TODAY())</f>
        <v/>
      </c>
      <c r="K126" s="48">
        <f>IF(OR(E126="",G126=""),"",IF(G126=0,"",E126+G126))</f>
        <v/>
      </c>
      <c r="L126" s="48">
        <f>IF(OR(K126="",H126=""),"",K126-H126)</f>
        <v/>
      </c>
      <c r="M126" s="50">
        <f>IF(AND(J126="",L126=""),"",IF(OR(AND(J126&lt;&gt;"",J126&lt;0),AND(L126&lt;&gt;"",L126&lt;0)),"🔴 Überfällig",IF(OR(AND(J126&lt;&gt;"",J126&lt;=30),AND(L126&lt;&gt;"",L126&lt;=1000)),"🟡 Bald fällig","🟢 OK")))</f>
        <v/>
      </c>
      <c r="N126" s="38" t="n"/>
    </row>
    <row r="127">
      <c r="A127" s="32" t="n"/>
      <c r="B127" s="32" t="n"/>
      <c r="C127" s="32" t="n"/>
      <c r="D127" s="32" t="n"/>
      <c r="E127" s="32" t="n"/>
      <c r="F127" s="32" t="n"/>
      <c r="G127" s="32" t="n"/>
      <c r="H127" s="48">
        <f>IFERROR(VLOOKUP(A127,F_Tabelle,10,FALSE),"")</f>
        <v/>
      </c>
      <c r="I127" s="49">
        <f>IF(OR(D127="",F127=""),"",IF(F127=0,"",EDATE(D127,F127)))</f>
        <v/>
      </c>
      <c r="J127" s="50">
        <f>IF(I127="","",I127-TODAY())</f>
        <v/>
      </c>
      <c r="K127" s="48">
        <f>IF(OR(E127="",G127=""),"",IF(G127=0,"",E127+G127))</f>
        <v/>
      </c>
      <c r="L127" s="48">
        <f>IF(OR(K127="",H127=""),"",K127-H127)</f>
        <v/>
      </c>
      <c r="M127" s="50">
        <f>IF(AND(J127="",L127=""),"",IF(OR(AND(J127&lt;&gt;"",J127&lt;0),AND(L127&lt;&gt;"",L127&lt;0)),"🔴 Überfällig",IF(OR(AND(J127&lt;&gt;"",J127&lt;=30),AND(L127&lt;&gt;"",L127&lt;=1000)),"🟡 Bald fällig","🟢 OK")))</f>
        <v/>
      </c>
      <c r="N127" s="40" t="n"/>
    </row>
    <row r="128">
      <c r="A128" s="34" t="n"/>
      <c r="B128" s="34" t="n"/>
      <c r="C128" s="34" t="n"/>
      <c r="D128" s="34" t="n"/>
      <c r="E128" s="34" t="n"/>
      <c r="F128" s="34" t="n"/>
      <c r="G128" s="34" t="n"/>
      <c r="H128" s="48">
        <f>IFERROR(VLOOKUP(A128,F_Tabelle,10,FALSE),"")</f>
        <v/>
      </c>
      <c r="I128" s="49">
        <f>IF(OR(D128="",F128=""),"",IF(F128=0,"",EDATE(D128,F128)))</f>
        <v/>
      </c>
      <c r="J128" s="50">
        <f>IF(I128="","",I128-TODAY())</f>
        <v/>
      </c>
      <c r="K128" s="48">
        <f>IF(OR(E128="",G128=""),"",IF(G128=0,"",E128+G128))</f>
        <v/>
      </c>
      <c r="L128" s="48">
        <f>IF(OR(K128="",H128=""),"",K128-H128)</f>
        <v/>
      </c>
      <c r="M128" s="50">
        <f>IF(AND(J128="",L128=""),"",IF(OR(AND(J128&lt;&gt;"",J128&lt;0),AND(L128&lt;&gt;"",L128&lt;0)),"🔴 Überfällig",IF(OR(AND(J128&lt;&gt;"",J128&lt;=30),AND(L128&lt;&gt;"",L128&lt;=1000)),"🟡 Bald fällig","🟢 OK")))</f>
        <v/>
      </c>
      <c r="N128" s="38" t="n"/>
    </row>
    <row r="129">
      <c r="A129" s="32" t="n"/>
      <c r="B129" s="32" t="n"/>
      <c r="C129" s="32" t="n"/>
      <c r="D129" s="32" t="n"/>
      <c r="E129" s="32" t="n"/>
      <c r="F129" s="32" t="n"/>
      <c r="G129" s="32" t="n"/>
      <c r="H129" s="48">
        <f>IFERROR(VLOOKUP(A129,F_Tabelle,10,FALSE),"")</f>
        <v/>
      </c>
      <c r="I129" s="49">
        <f>IF(OR(D129="",F129=""),"",IF(F129=0,"",EDATE(D129,F129)))</f>
        <v/>
      </c>
      <c r="J129" s="50">
        <f>IF(I129="","",I129-TODAY())</f>
        <v/>
      </c>
      <c r="K129" s="48">
        <f>IF(OR(E129="",G129=""),"",IF(G129=0,"",E129+G129))</f>
        <v/>
      </c>
      <c r="L129" s="48">
        <f>IF(OR(K129="",H129=""),"",K129-H129)</f>
        <v/>
      </c>
      <c r="M129" s="50">
        <f>IF(AND(J129="",L129=""),"",IF(OR(AND(J129&lt;&gt;"",J129&lt;0),AND(L129&lt;&gt;"",L129&lt;0)),"🔴 Überfällig",IF(OR(AND(J129&lt;&gt;"",J129&lt;=30),AND(L129&lt;&gt;"",L129&lt;=1000)),"🟡 Bald fällig","🟢 OK")))</f>
        <v/>
      </c>
      <c r="N129" s="40" t="n"/>
    </row>
    <row r="130">
      <c r="A130" s="34" t="n"/>
      <c r="B130" s="34" t="n"/>
      <c r="C130" s="34" t="n"/>
      <c r="D130" s="34" t="n"/>
      <c r="E130" s="34" t="n"/>
      <c r="F130" s="34" t="n"/>
      <c r="G130" s="34" t="n"/>
      <c r="H130" s="48">
        <f>IFERROR(VLOOKUP(A130,F_Tabelle,10,FALSE),"")</f>
        <v/>
      </c>
      <c r="I130" s="49">
        <f>IF(OR(D130="",F130=""),"",IF(F130=0,"",EDATE(D130,F130)))</f>
        <v/>
      </c>
      <c r="J130" s="50">
        <f>IF(I130="","",I130-TODAY())</f>
        <v/>
      </c>
      <c r="K130" s="48">
        <f>IF(OR(E130="",G130=""),"",IF(G130=0,"",E130+G130))</f>
        <v/>
      </c>
      <c r="L130" s="48">
        <f>IF(OR(K130="",H130=""),"",K130-H130)</f>
        <v/>
      </c>
      <c r="M130" s="50">
        <f>IF(AND(J130="",L130=""),"",IF(OR(AND(J130&lt;&gt;"",J130&lt;0),AND(L130&lt;&gt;"",L130&lt;0)),"🔴 Überfällig",IF(OR(AND(J130&lt;&gt;"",J130&lt;=30),AND(L130&lt;&gt;"",L130&lt;=1000)),"🟡 Bald fällig","🟢 OK")))</f>
        <v/>
      </c>
      <c r="N130" s="38" t="n"/>
    </row>
    <row r="131">
      <c r="A131" s="32" t="n"/>
      <c r="B131" s="32" t="n"/>
      <c r="C131" s="32" t="n"/>
      <c r="D131" s="32" t="n"/>
      <c r="E131" s="32" t="n"/>
      <c r="F131" s="32" t="n"/>
      <c r="G131" s="32" t="n"/>
      <c r="H131" s="48">
        <f>IFERROR(VLOOKUP(A131,F_Tabelle,10,FALSE),"")</f>
        <v/>
      </c>
      <c r="I131" s="49">
        <f>IF(OR(D131="",F131=""),"",IF(F131=0,"",EDATE(D131,F131)))</f>
        <v/>
      </c>
      <c r="J131" s="50">
        <f>IF(I131="","",I131-TODAY())</f>
        <v/>
      </c>
      <c r="K131" s="48">
        <f>IF(OR(E131="",G131=""),"",IF(G131=0,"",E131+G131))</f>
        <v/>
      </c>
      <c r="L131" s="48">
        <f>IF(OR(K131="",H131=""),"",K131-H131)</f>
        <v/>
      </c>
      <c r="M131" s="50">
        <f>IF(AND(J131="",L131=""),"",IF(OR(AND(J131&lt;&gt;"",J131&lt;0),AND(L131&lt;&gt;"",L131&lt;0)),"🔴 Überfällig",IF(OR(AND(J131&lt;&gt;"",J131&lt;=30),AND(L131&lt;&gt;"",L131&lt;=1000)),"🟡 Bald fällig","🟢 OK")))</f>
        <v/>
      </c>
      <c r="N131" s="40" t="n"/>
    </row>
    <row r="132">
      <c r="A132" s="34" t="n"/>
      <c r="B132" s="34" t="n"/>
      <c r="C132" s="34" t="n"/>
      <c r="D132" s="34" t="n"/>
      <c r="E132" s="34" t="n"/>
      <c r="F132" s="34" t="n"/>
      <c r="G132" s="34" t="n"/>
      <c r="H132" s="48">
        <f>IFERROR(VLOOKUP(A132,F_Tabelle,10,FALSE),"")</f>
        <v/>
      </c>
      <c r="I132" s="49">
        <f>IF(OR(D132="",F132=""),"",IF(F132=0,"",EDATE(D132,F132)))</f>
        <v/>
      </c>
      <c r="J132" s="50">
        <f>IF(I132="","",I132-TODAY())</f>
        <v/>
      </c>
      <c r="K132" s="48">
        <f>IF(OR(E132="",G132=""),"",IF(G132=0,"",E132+G132))</f>
        <v/>
      </c>
      <c r="L132" s="48">
        <f>IF(OR(K132="",H132=""),"",K132-H132)</f>
        <v/>
      </c>
      <c r="M132" s="50">
        <f>IF(AND(J132="",L132=""),"",IF(OR(AND(J132&lt;&gt;"",J132&lt;0),AND(L132&lt;&gt;"",L132&lt;0)),"🔴 Überfällig",IF(OR(AND(J132&lt;&gt;"",J132&lt;=30),AND(L132&lt;&gt;"",L132&lt;=1000)),"🟡 Bald fällig","🟢 OK")))</f>
        <v/>
      </c>
      <c r="N132" s="38" t="n"/>
    </row>
    <row r="133">
      <c r="A133" s="32" t="n"/>
      <c r="B133" s="32" t="n"/>
      <c r="C133" s="32" t="n"/>
      <c r="D133" s="32" t="n"/>
      <c r="E133" s="32" t="n"/>
      <c r="F133" s="32" t="n"/>
      <c r="G133" s="32" t="n"/>
      <c r="H133" s="48">
        <f>IFERROR(VLOOKUP(A133,F_Tabelle,10,FALSE),"")</f>
        <v/>
      </c>
      <c r="I133" s="49">
        <f>IF(OR(D133="",F133=""),"",IF(F133=0,"",EDATE(D133,F133)))</f>
        <v/>
      </c>
      <c r="J133" s="50">
        <f>IF(I133="","",I133-TODAY())</f>
        <v/>
      </c>
      <c r="K133" s="48">
        <f>IF(OR(E133="",G133=""),"",IF(G133=0,"",E133+G133))</f>
        <v/>
      </c>
      <c r="L133" s="48">
        <f>IF(OR(K133="",H133=""),"",K133-H133)</f>
        <v/>
      </c>
      <c r="M133" s="50">
        <f>IF(AND(J133="",L133=""),"",IF(OR(AND(J133&lt;&gt;"",J133&lt;0),AND(L133&lt;&gt;"",L133&lt;0)),"🔴 Überfällig",IF(OR(AND(J133&lt;&gt;"",J133&lt;=30),AND(L133&lt;&gt;"",L133&lt;=1000)),"🟡 Bald fällig","🟢 OK")))</f>
        <v/>
      </c>
      <c r="N133" s="40" t="n"/>
    </row>
    <row r="134">
      <c r="A134" s="34" t="n"/>
      <c r="B134" s="34" t="n"/>
      <c r="C134" s="34" t="n"/>
      <c r="D134" s="34" t="n"/>
      <c r="E134" s="34" t="n"/>
      <c r="F134" s="34" t="n"/>
      <c r="G134" s="34" t="n"/>
      <c r="H134" s="48">
        <f>IFERROR(VLOOKUP(A134,F_Tabelle,10,FALSE),"")</f>
        <v/>
      </c>
      <c r="I134" s="49">
        <f>IF(OR(D134="",F134=""),"",IF(F134=0,"",EDATE(D134,F134)))</f>
        <v/>
      </c>
      <c r="J134" s="50">
        <f>IF(I134="","",I134-TODAY())</f>
        <v/>
      </c>
      <c r="K134" s="48">
        <f>IF(OR(E134="",G134=""),"",IF(G134=0,"",E134+G134))</f>
        <v/>
      </c>
      <c r="L134" s="48">
        <f>IF(OR(K134="",H134=""),"",K134-H134)</f>
        <v/>
      </c>
      <c r="M134" s="50">
        <f>IF(AND(J134="",L134=""),"",IF(OR(AND(J134&lt;&gt;"",J134&lt;0),AND(L134&lt;&gt;"",L134&lt;0)),"🔴 Überfällig",IF(OR(AND(J134&lt;&gt;"",J134&lt;=30),AND(L134&lt;&gt;"",L134&lt;=1000)),"🟡 Bald fällig","🟢 OK")))</f>
        <v/>
      </c>
      <c r="N134" s="38" t="n"/>
    </row>
    <row r="135">
      <c r="A135" s="32" t="n"/>
      <c r="B135" s="32" t="n"/>
      <c r="C135" s="32" t="n"/>
      <c r="D135" s="32" t="n"/>
      <c r="E135" s="32" t="n"/>
      <c r="F135" s="32" t="n"/>
      <c r="G135" s="32" t="n"/>
      <c r="H135" s="48">
        <f>IFERROR(VLOOKUP(A135,F_Tabelle,10,FALSE),"")</f>
        <v/>
      </c>
      <c r="I135" s="49">
        <f>IF(OR(D135="",F135=""),"",IF(F135=0,"",EDATE(D135,F135)))</f>
        <v/>
      </c>
      <c r="J135" s="50">
        <f>IF(I135="","",I135-TODAY())</f>
        <v/>
      </c>
      <c r="K135" s="48">
        <f>IF(OR(E135="",G135=""),"",IF(G135=0,"",E135+G135))</f>
        <v/>
      </c>
      <c r="L135" s="48">
        <f>IF(OR(K135="",H135=""),"",K135-H135)</f>
        <v/>
      </c>
      <c r="M135" s="50">
        <f>IF(AND(J135="",L135=""),"",IF(OR(AND(J135&lt;&gt;"",J135&lt;0),AND(L135&lt;&gt;"",L135&lt;0)),"🔴 Überfällig",IF(OR(AND(J135&lt;&gt;"",J135&lt;=30),AND(L135&lt;&gt;"",L135&lt;=1000)),"🟡 Bald fällig","🟢 OK")))</f>
        <v/>
      </c>
      <c r="N135" s="40" t="n"/>
    </row>
    <row r="136">
      <c r="A136" s="34" t="n"/>
      <c r="B136" s="34" t="n"/>
      <c r="C136" s="34" t="n"/>
      <c r="D136" s="34" t="n"/>
      <c r="E136" s="34" t="n"/>
      <c r="F136" s="34" t="n"/>
      <c r="G136" s="34" t="n"/>
      <c r="H136" s="48">
        <f>IFERROR(VLOOKUP(A136,F_Tabelle,10,FALSE),"")</f>
        <v/>
      </c>
      <c r="I136" s="49">
        <f>IF(OR(D136="",F136=""),"",IF(F136=0,"",EDATE(D136,F136)))</f>
        <v/>
      </c>
      <c r="J136" s="50">
        <f>IF(I136="","",I136-TODAY())</f>
        <v/>
      </c>
      <c r="K136" s="48">
        <f>IF(OR(E136="",G136=""),"",IF(G136=0,"",E136+G136))</f>
        <v/>
      </c>
      <c r="L136" s="48">
        <f>IF(OR(K136="",H136=""),"",K136-H136)</f>
        <v/>
      </c>
      <c r="M136" s="50">
        <f>IF(AND(J136="",L136=""),"",IF(OR(AND(J136&lt;&gt;"",J136&lt;0),AND(L136&lt;&gt;"",L136&lt;0)),"🔴 Überfällig",IF(OR(AND(J136&lt;&gt;"",J136&lt;=30),AND(L136&lt;&gt;"",L136&lt;=1000)),"🟡 Bald fällig","🟢 OK")))</f>
        <v/>
      </c>
      <c r="N136" s="38" t="n"/>
    </row>
    <row r="137">
      <c r="A137" s="32" t="n"/>
      <c r="B137" s="32" t="n"/>
      <c r="C137" s="32" t="n"/>
      <c r="D137" s="32" t="n"/>
      <c r="E137" s="32" t="n"/>
      <c r="F137" s="32" t="n"/>
      <c r="G137" s="32" t="n"/>
      <c r="H137" s="48">
        <f>IFERROR(VLOOKUP(A137,F_Tabelle,10,FALSE),"")</f>
        <v/>
      </c>
      <c r="I137" s="49">
        <f>IF(OR(D137="",F137=""),"",IF(F137=0,"",EDATE(D137,F137)))</f>
        <v/>
      </c>
      <c r="J137" s="50">
        <f>IF(I137="","",I137-TODAY())</f>
        <v/>
      </c>
      <c r="K137" s="48">
        <f>IF(OR(E137="",G137=""),"",IF(G137=0,"",E137+G137))</f>
        <v/>
      </c>
      <c r="L137" s="48">
        <f>IF(OR(K137="",H137=""),"",K137-H137)</f>
        <v/>
      </c>
      <c r="M137" s="50">
        <f>IF(AND(J137="",L137=""),"",IF(OR(AND(J137&lt;&gt;"",J137&lt;0),AND(L137&lt;&gt;"",L137&lt;0)),"🔴 Überfällig",IF(OR(AND(J137&lt;&gt;"",J137&lt;=30),AND(L137&lt;&gt;"",L137&lt;=1000)),"🟡 Bald fällig","🟢 OK")))</f>
        <v/>
      </c>
      <c r="N137" s="40" t="n"/>
    </row>
    <row r="138">
      <c r="A138" s="34" t="n"/>
      <c r="B138" s="34" t="n"/>
      <c r="C138" s="34" t="n"/>
      <c r="D138" s="34" t="n"/>
      <c r="E138" s="34" t="n"/>
      <c r="F138" s="34" t="n"/>
      <c r="G138" s="34" t="n"/>
      <c r="H138" s="48">
        <f>IFERROR(VLOOKUP(A138,F_Tabelle,10,FALSE),"")</f>
        <v/>
      </c>
      <c r="I138" s="49">
        <f>IF(OR(D138="",F138=""),"",IF(F138=0,"",EDATE(D138,F138)))</f>
        <v/>
      </c>
      <c r="J138" s="50">
        <f>IF(I138="","",I138-TODAY())</f>
        <v/>
      </c>
      <c r="K138" s="48">
        <f>IF(OR(E138="",G138=""),"",IF(G138=0,"",E138+G138))</f>
        <v/>
      </c>
      <c r="L138" s="48">
        <f>IF(OR(K138="",H138=""),"",K138-H138)</f>
        <v/>
      </c>
      <c r="M138" s="50">
        <f>IF(AND(J138="",L138=""),"",IF(OR(AND(J138&lt;&gt;"",J138&lt;0),AND(L138&lt;&gt;"",L138&lt;0)),"🔴 Überfällig",IF(OR(AND(J138&lt;&gt;"",J138&lt;=30),AND(L138&lt;&gt;"",L138&lt;=1000)),"🟡 Bald fällig","🟢 OK")))</f>
        <v/>
      </c>
      <c r="N138" s="38" t="n"/>
    </row>
    <row r="139">
      <c r="A139" s="32" t="n"/>
      <c r="B139" s="32" t="n"/>
      <c r="C139" s="32" t="n"/>
      <c r="D139" s="32" t="n"/>
      <c r="E139" s="32" t="n"/>
      <c r="F139" s="32" t="n"/>
      <c r="G139" s="32" t="n"/>
      <c r="H139" s="48">
        <f>IFERROR(VLOOKUP(A139,F_Tabelle,10,FALSE),"")</f>
        <v/>
      </c>
      <c r="I139" s="49">
        <f>IF(OR(D139="",F139=""),"",IF(F139=0,"",EDATE(D139,F139)))</f>
        <v/>
      </c>
      <c r="J139" s="50">
        <f>IF(I139="","",I139-TODAY())</f>
        <v/>
      </c>
      <c r="K139" s="48">
        <f>IF(OR(E139="",G139=""),"",IF(G139=0,"",E139+G139))</f>
        <v/>
      </c>
      <c r="L139" s="48">
        <f>IF(OR(K139="",H139=""),"",K139-H139)</f>
        <v/>
      </c>
      <c r="M139" s="50">
        <f>IF(AND(J139="",L139=""),"",IF(OR(AND(J139&lt;&gt;"",J139&lt;0),AND(L139&lt;&gt;"",L139&lt;0)),"🔴 Überfällig",IF(OR(AND(J139&lt;&gt;"",J139&lt;=30),AND(L139&lt;&gt;"",L139&lt;=1000)),"🟡 Bald fällig","🟢 OK")))</f>
        <v/>
      </c>
      <c r="N139" s="40" t="n"/>
    </row>
    <row r="140">
      <c r="A140" s="34" t="n"/>
      <c r="B140" s="34" t="n"/>
      <c r="C140" s="34" t="n"/>
      <c r="D140" s="34" t="n"/>
      <c r="E140" s="34" t="n"/>
      <c r="F140" s="34" t="n"/>
      <c r="G140" s="34" t="n"/>
      <c r="H140" s="48">
        <f>IFERROR(VLOOKUP(A140,F_Tabelle,10,FALSE),"")</f>
        <v/>
      </c>
      <c r="I140" s="49">
        <f>IF(OR(D140="",F140=""),"",IF(F140=0,"",EDATE(D140,F140)))</f>
        <v/>
      </c>
      <c r="J140" s="50">
        <f>IF(I140="","",I140-TODAY())</f>
        <v/>
      </c>
      <c r="K140" s="48">
        <f>IF(OR(E140="",G140=""),"",IF(G140=0,"",E140+G140))</f>
        <v/>
      </c>
      <c r="L140" s="48">
        <f>IF(OR(K140="",H140=""),"",K140-H140)</f>
        <v/>
      </c>
      <c r="M140" s="50">
        <f>IF(AND(J140="",L140=""),"",IF(OR(AND(J140&lt;&gt;"",J140&lt;0),AND(L140&lt;&gt;"",L140&lt;0)),"🔴 Überfällig",IF(OR(AND(J140&lt;&gt;"",J140&lt;=30),AND(L140&lt;&gt;"",L140&lt;=1000)),"🟡 Bald fällig","🟢 OK")))</f>
        <v/>
      </c>
      <c r="N140" s="38" t="n"/>
    </row>
    <row r="141">
      <c r="A141" s="32" t="n"/>
      <c r="B141" s="32" t="n"/>
      <c r="C141" s="32" t="n"/>
      <c r="D141" s="32" t="n"/>
      <c r="E141" s="32" t="n"/>
      <c r="F141" s="32" t="n"/>
      <c r="G141" s="32" t="n"/>
      <c r="H141" s="48">
        <f>IFERROR(VLOOKUP(A141,F_Tabelle,10,FALSE),"")</f>
        <v/>
      </c>
      <c r="I141" s="49">
        <f>IF(OR(D141="",F141=""),"",IF(F141=0,"",EDATE(D141,F141)))</f>
        <v/>
      </c>
      <c r="J141" s="50">
        <f>IF(I141="","",I141-TODAY())</f>
        <v/>
      </c>
      <c r="K141" s="48">
        <f>IF(OR(E141="",G141=""),"",IF(G141=0,"",E141+G141))</f>
        <v/>
      </c>
      <c r="L141" s="48">
        <f>IF(OR(K141="",H141=""),"",K141-H141)</f>
        <v/>
      </c>
      <c r="M141" s="50">
        <f>IF(AND(J141="",L141=""),"",IF(OR(AND(J141&lt;&gt;"",J141&lt;0),AND(L141&lt;&gt;"",L141&lt;0)),"🔴 Überfällig",IF(OR(AND(J141&lt;&gt;"",J141&lt;=30),AND(L141&lt;&gt;"",L141&lt;=1000)),"🟡 Bald fällig","🟢 OK")))</f>
        <v/>
      </c>
      <c r="N141" s="40" t="n"/>
    </row>
    <row r="142">
      <c r="A142" s="34" t="n"/>
      <c r="B142" s="34" t="n"/>
      <c r="C142" s="34" t="n"/>
      <c r="D142" s="34" t="n"/>
      <c r="E142" s="34" t="n"/>
      <c r="F142" s="34" t="n"/>
      <c r="G142" s="34" t="n"/>
      <c r="H142" s="48">
        <f>IFERROR(VLOOKUP(A142,F_Tabelle,10,FALSE),"")</f>
        <v/>
      </c>
      <c r="I142" s="49">
        <f>IF(OR(D142="",F142=""),"",IF(F142=0,"",EDATE(D142,F142)))</f>
        <v/>
      </c>
      <c r="J142" s="50">
        <f>IF(I142="","",I142-TODAY())</f>
        <v/>
      </c>
      <c r="K142" s="48">
        <f>IF(OR(E142="",G142=""),"",IF(G142=0,"",E142+G142))</f>
        <v/>
      </c>
      <c r="L142" s="48">
        <f>IF(OR(K142="",H142=""),"",K142-H142)</f>
        <v/>
      </c>
      <c r="M142" s="50">
        <f>IF(AND(J142="",L142=""),"",IF(OR(AND(J142&lt;&gt;"",J142&lt;0),AND(L142&lt;&gt;"",L142&lt;0)),"🔴 Überfällig",IF(OR(AND(J142&lt;&gt;"",J142&lt;=30),AND(L142&lt;&gt;"",L142&lt;=1000)),"🟡 Bald fällig","🟢 OK")))</f>
        <v/>
      </c>
      <c r="N142" s="38" t="n"/>
    </row>
    <row r="143">
      <c r="A143" s="32" t="n"/>
      <c r="B143" s="32" t="n"/>
      <c r="C143" s="32" t="n"/>
      <c r="D143" s="32" t="n"/>
      <c r="E143" s="32" t="n"/>
      <c r="F143" s="32" t="n"/>
      <c r="G143" s="32" t="n"/>
      <c r="H143" s="48">
        <f>IFERROR(VLOOKUP(A143,F_Tabelle,10,FALSE),"")</f>
        <v/>
      </c>
      <c r="I143" s="49">
        <f>IF(OR(D143="",F143=""),"",IF(F143=0,"",EDATE(D143,F143)))</f>
        <v/>
      </c>
      <c r="J143" s="50">
        <f>IF(I143="","",I143-TODAY())</f>
        <v/>
      </c>
      <c r="K143" s="48">
        <f>IF(OR(E143="",G143=""),"",IF(G143=0,"",E143+G143))</f>
        <v/>
      </c>
      <c r="L143" s="48">
        <f>IF(OR(K143="",H143=""),"",K143-H143)</f>
        <v/>
      </c>
      <c r="M143" s="50">
        <f>IF(AND(J143="",L143=""),"",IF(OR(AND(J143&lt;&gt;"",J143&lt;0),AND(L143&lt;&gt;"",L143&lt;0)),"🔴 Überfällig",IF(OR(AND(J143&lt;&gt;"",J143&lt;=30),AND(L143&lt;&gt;"",L143&lt;=1000)),"🟡 Bald fällig","🟢 OK")))</f>
        <v/>
      </c>
      <c r="N143" s="40" t="n"/>
    </row>
    <row r="144">
      <c r="A144" s="34" t="n"/>
      <c r="B144" s="34" t="n"/>
      <c r="C144" s="34" t="n"/>
      <c r="D144" s="34" t="n"/>
      <c r="E144" s="34" t="n"/>
      <c r="F144" s="34" t="n"/>
      <c r="G144" s="34" t="n"/>
      <c r="H144" s="48">
        <f>IFERROR(VLOOKUP(A144,F_Tabelle,10,FALSE),"")</f>
        <v/>
      </c>
      <c r="I144" s="49">
        <f>IF(OR(D144="",F144=""),"",IF(F144=0,"",EDATE(D144,F144)))</f>
        <v/>
      </c>
      <c r="J144" s="50">
        <f>IF(I144="","",I144-TODAY())</f>
        <v/>
      </c>
      <c r="K144" s="48">
        <f>IF(OR(E144="",G144=""),"",IF(G144=0,"",E144+G144))</f>
        <v/>
      </c>
      <c r="L144" s="48">
        <f>IF(OR(K144="",H144=""),"",K144-H144)</f>
        <v/>
      </c>
      <c r="M144" s="50">
        <f>IF(AND(J144="",L144=""),"",IF(OR(AND(J144&lt;&gt;"",J144&lt;0),AND(L144&lt;&gt;"",L144&lt;0)),"🔴 Überfällig",IF(OR(AND(J144&lt;&gt;"",J144&lt;=30),AND(L144&lt;&gt;"",L144&lt;=1000)),"🟡 Bald fällig","🟢 OK")))</f>
        <v/>
      </c>
      <c r="N144" s="38" t="n"/>
    </row>
    <row r="145">
      <c r="A145" s="32" t="n"/>
      <c r="B145" s="32" t="n"/>
      <c r="C145" s="32" t="n"/>
      <c r="D145" s="32" t="n"/>
      <c r="E145" s="32" t="n"/>
      <c r="F145" s="32" t="n"/>
      <c r="G145" s="32" t="n"/>
      <c r="H145" s="48">
        <f>IFERROR(VLOOKUP(A145,F_Tabelle,10,FALSE),"")</f>
        <v/>
      </c>
      <c r="I145" s="49">
        <f>IF(OR(D145="",F145=""),"",IF(F145=0,"",EDATE(D145,F145)))</f>
        <v/>
      </c>
      <c r="J145" s="50">
        <f>IF(I145="","",I145-TODAY())</f>
        <v/>
      </c>
      <c r="K145" s="48">
        <f>IF(OR(E145="",G145=""),"",IF(G145=0,"",E145+G145))</f>
        <v/>
      </c>
      <c r="L145" s="48">
        <f>IF(OR(K145="",H145=""),"",K145-H145)</f>
        <v/>
      </c>
      <c r="M145" s="50">
        <f>IF(AND(J145="",L145=""),"",IF(OR(AND(J145&lt;&gt;"",J145&lt;0),AND(L145&lt;&gt;"",L145&lt;0)),"🔴 Überfällig",IF(OR(AND(J145&lt;&gt;"",J145&lt;=30),AND(L145&lt;&gt;"",L145&lt;=1000)),"🟡 Bald fällig","🟢 OK")))</f>
        <v/>
      </c>
      <c r="N145" s="40" t="n"/>
    </row>
    <row r="146">
      <c r="A146" s="34" t="n"/>
      <c r="B146" s="34" t="n"/>
      <c r="C146" s="34" t="n"/>
      <c r="D146" s="34" t="n"/>
      <c r="E146" s="34" t="n"/>
      <c r="F146" s="34" t="n"/>
      <c r="G146" s="34" t="n"/>
      <c r="H146" s="48">
        <f>IFERROR(VLOOKUP(A146,F_Tabelle,10,FALSE),"")</f>
        <v/>
      </c>
      <c r="I146" s="49">
        <f>IF(OR(D146="",F146=""),"",IF(F146=0,"",EDATE(D146,F146)))</f>
        <v/>
      </c>
      <c r="J146" s="50">
        <f>IF(I146="","",I146-TODAY())</f>
        <v/>
      </c>
      <c r="K146" s="48">
        <f>IF(OR(E146="",G146=""),"",IF(G146=0,"",E146+G146))</f>
        <v/>
      </c>
      <c r="L146" s="48">
        <f>IF(OR(K146="",H146=""),"",K146-H146)</f>
        <v/>
      </c>
      <c r="M146" s="50">
        <f>IF(AND(J146="",L146=""),"",IF(OR(AND(J146&lt;&gt;"",J146&lt;0),AND(L146&lt;&gt;"",L146&lt;0)),"🔴 Überfällig",IF(OR(AND(J146&lt;&gt;"",J146&lt;=30),AND(L146&lt;&gt;"",L146&lt;=1000)),"🟡 Bald fällig","🟢 OK")))</f>
        <v/>
      </c>
      <c r="N146" s="38" t="n"/>
    </row>
    <row r="147">
      <c r="A147" s="32" t="n"/>
      <c r="B147" s="32" t="n"/>
      <c r="C147" s="32" t="n"/>
      <c r="D147" s="32" t="n"/>
      <c r="E147" s="32" t="n"/>
      <c r="F147" s="32" t="n"/>
      <c r="G147" s="32" t="n"/>
      <c r="H147" s="48">
        <f>IFERROR(VLOOKUP(A147,F_Tabelle,10,FALSE),"")</f>
        <v/>
      </c>
      <c r="I147" s="49">
        <f>IF(OR(D147="",F147=""),"",IF(F147=0,"",EDATE(D147,F147)))</f>
        <v/>
      </c>
      <c r="J147" s="50">
        <f>IF(I147="","",I147-TODAY())</f>
        <v/>
      </c>
      <c r="K147" s="48">
        <f>IF(OR(E147="",G147=""),"",IF(G147=0,"",E147+G147))</f>
        <v/>
      </c>
      <c r="L147" s="48">
        <f>IF(OR(K147="",H147=""),"",K147-H147)</f>
        <v/>
      </c>
      <c r="M147" s="50">
        <f>IF(AND(J147="",L147=""),"",IF(OR(AND(J147&lt;&gt;"",J147&lt;0),AND(L147&lt;&gt;"",L147&lt;0)),"🔴 Überfällig",IF(OR(AND(J147&lt;&gt;"",J147&lt;=30),AND(L147&lt;&gt;"",L147&lt;=1000)),"🟡 Bald fällig","🟢 OK")))</f>
        <v/>
      </c>
      <c r="N147" s="40" t="n"/>
    </row>
    <row r="148">
      <c r="A148" s="34" t="n"/>
      <c r="B148" s="34" t="n"/>
      <c r="C148" s="34" t="n"/>
      <c r="D148" s="34" t="n"/>
      <c r="E148" s="34" t="n"/>
      <c r="F148" s="34" t="n"/>
      <c r="G148" s="34" t="n"/>
      <c r="H148" s="48">
        <f>IFERROR(VLOOKUP(A148,F_Tabelle,10,FALSE),"")</f>
        <v/>
      </c>
      <c r="I148" s="49">
        <f>IF(OR(D148="",F148=""),"",IF(F148=0,"",EDATE(D148,F148)))</f>
        <v/>
      </c>
      <c r="J148" s="50">
        <f>IF(I148="","",I148-TODAY())</f>
        <v/>
      </c>
      <c r="K148" s="48">
        <f>IF(OR(E148="",G148=""),"",IF(G148=0,"",E148+G148))</f>
        <v/>
      </c>
      <c r="L148" s="48">
        <f>IF(OR(K148="",H148=""),"",K148-H148)</f>
        <v/>
      </c>
      <c r="M148" s="50">
        <f>IF(AND(J148="",L148=""),"",IF(OR(AND(J148&lt;&gt;"",J148&lt;0),AND(L148&lt;&gt;"",L148&lt;0)),"🔴 Überfällig",IF(OR(AND(J148&lt;&gt;"",J148&lt;=30),AND(L148&lt;&gt;"",L148&lt;=1000)),"🟡 Bald fällig","🟢 OK")))</f>
        <v/>
      </c>
      <c r="N148" s="38" t="n"/>
    </row>
    <row r="149">
      <c r="A149" s="32" t="n"/>
      <c r="B149" s="32" t="n"/>
      <c r="C149" s="32" t="n"/>
      <c r="D149" s="32" t="n"/>
      <c r="E149" s="32" t="n"/>
      <c r="F149" s="32" t="n"/>
      <c r="G149" s="32" t="n"/>
      <c r="H149" s="48">
        <f>IFERROR(VLOOKUP(A149,F_Tabelle,10,FALSE),"")</f>
        <v/>
      </c>
      <c r="I149" s="49">
        <f>IF(OR(D149="",F149=""),"",IF(F149=0,"",EDATE(D149,F149)))</f>
        <v/>
      </c>
      <c r="J149" s="50">
        <f>IF(I149="","",I149-TODAY())</f>
        <v/>
      </c>
      <c r="K149" s="48">
        <f>IF(OR(E149="",G149=""),"",IF(G149=0,"",E149+G149))</f>
        <v/>
      </c>
      <c r="L149" s="48">
        <f>IF(OR(K149="",H149=""),"",K149-H149)</f>
        <v/>
      </c>
      <c r="M149" s="50">
        <f>IF(AND(J149="",L149=""),"",IF(OR(AND(J149&lt;&gt;"",J149&lt;0),AND(L149&lt;&gt;"",L149&lt;0)),"🔴 Überfällig",IF(OR(AND(J149&lt;&gt;"",J149&lt;=30),AND(L149&lt;&gt;"",L149&lt;=1000)),"🟡 Bald fällig","🟢 OK")))</f>
        <v/>
      </c>
      <c r="N149" s="40" t="n"/>
    </row>
    <row r="150">
      <c r="A150" s="34" t="n"/>
      <c r="B150" s="34" t="n"/>
      <c r="C150" s="34" t="n"/>
      <c r="D150" s="34" t="n"/>
      <c r="E150" s="34" t="n"/>
      <c r="F150" s="34" t="n"/>
      <c r="G150" s="34" t="n"/>
      <c r="H150" s="48">
        <f>IFERROR(VLOOKUP(A150,F_Tabelle,10,FALSE),"")</f>
        <v/>
      </c>
      <c r="I150" s="49">
        <f>IF(OR(D150="",F150=""),"",IF(F150=0,"",EDATE(D150,F150)))</f>
        <v/>
      </c>
      <c r="J150" s="50">
        <f>IF(I150="","",I150-TODAY())</f>
        <v/>
      </c>
      <c r="K150" s="48">
        <f>IF(OR(E150="",G150=""),"",IF(G150=0,"",E150+G150))</f>
        <v/>
      </c>
      <c r="L150" s="48">
        <f>IF(OR(K150="",H150=""),"",K150-H150)</f>
        <v/>
      </c>
      <c r="M150" s="50">
        <f>IF(AND(J150="",L150=""),"",IF(OR(AND(J150&lt;&gt;"",J150&lt;0),AND(L150&lt;&gt;"",L150&lt;0)),"🔴 Überfällig",IF(OR(AND(J150&lt;&gt;"",J150&lt;=30),AND(L150&lt;&gt;"",L150&lt;=1000)),"🟡 Bald fällig","🟢 OK")))</f>
        <v/>
      </c>
      <c r="N150" s="38" t="n"/>
    </row>
    <row r="151">
      <c r="A151" s="32" t="n"/>
      <c r="B151" s="32" t="n"/>
      <c r="C151" s="32" t="n"/>
      <c r="D151" s="32" t="n"/>
      <c r="E151" s="32" t="n"/>
      <c r="F151" s="32" t="n"/>
      <c r="G151" s="32" t="n"/>
      <c r="H151" s="48">
        <f>IFERROR(VLOOKUP(A151,F_Tabelle,10,FALSE),"")</f>
        <v/>
      </c>
      <c r="I151" s="49">
        <f>IF(OR(D151="",F151=""),"",IF(F151=0,"",EDATE(D151,F151)))</f>
        <v/>
      </c>
      <c r="J151" s="50">
        <f>IF(I151="","",I151-TODAY())</f>
        <v/>
      </c>
      <c r="K151" s="48">
        <f>IF(OR(E151="",G151=""),"",IF(G151=0,"",E151+G151))</f>
        <v/>
      </c>
      <c r="L151" s="48">
        <f>IF(OR(K151="",H151=""),"",K151-H151)</f>
        <v/>
      </c>
      <c r="M151" s="50">
        <f>IF(AND(J151="",L151=""),"",IF(OR(AND(J151&lt;&gt;"",J151&lt;0),AND(L151&lt;&gt;"",L151&lt;0)),"🔴 Überfällig",IF(OR(AND(J151&lt;&gt;"",J151&lt;=30),AND(L151&lt;&gt;"",L151&lt;=1000)),"🟡 Bald fällig","🟢 OK")))</f>
        <v/>
      </c>
      <c r="N151" s="40" t="n"/>
    </row>
    <row r="152">
      <c r="A152" s="34" t="n"/>
      <c r="B152" s="34" t="n"/>
      <c r="C152" s="34" t="n"/>
      <c r="D152" s="34" t="n"/>
      <c r="E152" s="34" t="n"/>
      <c r="F152" s="34" t="n"/>
      <c r="G152" s="34" t="n"/>
      <c r="H152" s="48">
        <f>IFERROR(VLOOKUP(A152,F_Tabelle,10,FALSE),"")</f>
        <v/>
      </c>
      <c r="I152" s="49">
        <f>IF(OR(D152="",F152=""),"",IF(F152=0,"",EDATE(D152,F152)))</f>
        <v/>
      </c>
      <c r="J152" s="50">
        <f>IF(I152="","",I152-TODAY())</f>
        <v/>
      </c>
      <c r="K152" s="48">
        <f>IF(OR(E152="",G152=""),"",IF(G152=0,"",E152+G152))</f>
        <v/>
      </c>
      <c r="L152" s="48">
        <f>IF(OR(K152="",H152=""),"",K152-H152)</f>
        <v/>
      </c>
      <c r="M152" s="50">
        <f>IF(AND(J152="",L152=""),"",IF(OR(AND(J152&lt;&gt;"",J152&lt;0),AND(L152&lt;&gt;"",L152&lt;0)),"🔴 Überfällig",IF(OR(AND(J152&lt;&gt;"",J152&lt;=30),AND(L152&lt;&gt;"",L152&lt;=1000)),"🟡 Bald fällig","🟢 OK")))</f>
        <v/>
      </c>
      <c r="N152" s="38" t="n"/>
    </row>
    <row r="153">
      <c r="A153" s="32" t="n"/>
      <c r="B153" s="32" t="n"/>
      <c r="C153" s="32" t="n"/>
      <c r="D153" s="32" t="n"/>
      <c r="E153" s="32" t="n"/>
      <c r="F153" s="32" t="n"/>
      <c r="G153" s="32" t="n"/>
      <c r="H153" s="48">
        <f>IFERROR(VLOOKUP(A153,F_Tabelle,10,FALSE),"")</f>
        <v/>
      </c>
      <c r="I153" s="49">
        <f>IF(OR(D153="",F153=""),"",IF(F153=0,"",EDATE(D153,F153)))</f>
        <v/>
      </c>
      <c r="J153" s="50">
        <f>IF(I153="","",I153-TODAY())</f>
        <v/>
      </c>
      <c r="K153" s="48">
        <f>IF(OR(E153="",G153=""),"",IF(G153=0,"",E153+G153))</f>
        <v/>
      </c>
      <c r="L153" s="48">
        <f>IF(OR(K153="",H153=""),"",K153-H153)</f>
        <v/>
      </c>
      <c r="M153" s="50">
        <f>IF(AND(J153="",L153=""),"",IF(OR(AND(J153&lt;&gt;"",J153&lt;0),AND(L153&lt;&gt;"",L153&lt;0)),"🔴 Überfällig",IF(OR(AND(J153&lt;&gt;"",J153&lt;=30),AND(L153&lt;&gt;"",L153&lt;=1000)),"🟡 Bald fällig","🟢 OK")))</f>
        <v/>
      </c>
      <c r="N153" s="40" t="n"/>
    </row>
    <row r="154">
      <c r="A154" s="34" t="n"/>
      <c r="B154" s="34" t="n"/>
      <c r="C154" s="34" t="n"/>
      <c r="D154" s="34" t="n"/>
      <c r="E154" s="34" t="n"/>
      <c r="F154" s="34" t="n"/>
      <c r="G154" s="34" t="n"/>
      <c r="H154" s="48">
        <f>IFERROR(VLOOKUP(A154,F_Tabelle,10,FALSE),"")</f>
        <v/>
      </c>
      <c r="I154" s="49">
        <f>IF(OR(D154="",F154=""),"",IF(F154=0,"",EDATE(D154,F154)))</f>
        <v/>
      </c>
      <c r="J154" s="50">
        <f>IF(I154="","",I154-TODAY())</f>
        <v/>
      </c>
      <c r="K154" s="48">
        <f>IF(OR(E154="",G154=""),"",IF(G154=0,"",E154+G154))</f>
        <v/>
      </c>
      <c r="L154" s="48">
        <f>IF(OR(K154="",H154=""),"",K154-H154)</f>
        <v/>
      </c>
      <c r="M154" s="50">
        <f>IF(AND(J154="",L154=""),"",IF(OR(AND(J154&lt;&gt;"",J154&lt;0),AND(L154&lt;&gt;"",L154&lt;0)),"🔴 Überfällig",IF(OR(AND(J154&lt;&gt;"",J154&lt;=30),AND(L154&lt;&gt;"",L154&lt;=1000)),"🟡 Bald fällig","🟢 OK")))</f>
        <v/>
      </c>
      <c r="N154" s="38" t="n"/>
    </row>
    <row r="155">
      <c r="A155" s="32" t="n"/>
      <c r="B155" s="32" t="n"/>
      <c r="C155" s="32" t="n"/>
      <c r="D155" s="32" t="n"/>
      <c r="E155" s="32" t="n"/>
      <c r="F155" s="32" t="n"/>
      <c r="G155" s="32" t="n"/>
      <c r="H155" s="48">
        <f>IFERROR(VLOOKUP(A155,F_Tabelle,10,FALSE),"")</f>
        <v/>
      </c>
      <c r="I155" s="49">
        <f>IF(OR(D155="",F155=""),"",IF(F155=0,"",EDATE(D155,F155)))</f>
        <v/>
      </c>
      <c r="J155" s="50">
        <f>IF(I155="","",I155-TODAY())</f>
        <v/>
      </c>
      <c r="K155" s="48">
        <f>IF(OR(E155="",G155=""),"",IF(G155=0,"",E155+G155))</f>
        <v/>
      </c>
      <c r="L155" s="48">
        <f>IF(OR(K155="",H155=""),"",K155-H155)</f>
        <v/>
      </c>
      <c r="M155" s="50">
        <f>IF(AND(J155="",L155=""),"",IF(OR(AND(J155&lt;&gt;"",J155&lt;0),AND(L155&lt;&gt;"",L155&lt;0)),"🔴 Überfällig",IF(OR(AND(J155&lt;&gt;"",J155&lt;=30),AND(L155&lt;&gt;"",L155&lt;=1000)),"🟡 Bald fällig","🟢 OK")))</f>
        <v/>
      </c>
      <c r="N155" s="40" t="n"/>
    </row>
    <row r="156">
      <c r="A156" s="34" t="n"/>
      <c r="B156" s="34" t="n"/>
      <c r="C156" s="34" t="n"/>
      <c r="D156" s="34" t="n"/>
      <c r="E156" s="34" t="n"/>
      <c r="F156" s="34" t="n"/>
      <c r="G156" s="34" t="n"/>
      <c r="H156" s="48">
        <f>IFERROR(VLOOKUP(A156,F_Tabelle,10,FALSE),"")</f>
        <v/>
      </c>
      <c r="I156" s="49">
        <f>IF(OR(D156="",F156=""),"",IF(F156=0,"",EDATE(D156,F156)))</f>
        <v/>
      </c>
      <c r="J156" s="50">
        <f>IF(I156="","",I156-TODAY())</f>
        <v/>
      </c>
      <c r="K156" s="48">
        <f>IF(OR(E156="",G156=""),"",IF(G156=0,"",E156+G156))</f>
        <v/>
      </c>
      <c r="L156" s="48">
        <f>IF(OR(K156="",H156=""),"",K156-H156)</f>
        <v/>
      </c>
      <c r="M156" s="50">
        <f>IF(AND(J156="",L156=""),"",IF(OR(AND(J156&lt;&gt;"",J156&lt;0),AND(L156&lt;&gt;"",L156&lt;0)),"🔴 Überfällig",IF(OR(AND(J156&lt;&gt;"",J156&lt;=30),AND(L156&lt;&gt;"",L156&lt;=1000)),"🟡 Bald fällig","🟢 OK")))</f>
        <v/>
      </c>
      <c r="N156" s="38" t="n"/>
    </row>
    <row r="157">
      <c r="A157" s="32" t="n"/>
      <c r="B157" s="32" t="n"/>
      <c r="C157" s="32" t="n"/>
      <c r="D157" s="32" t="n"/>
      <c r="E157" s="32" t="n"/>
      <c r="F157" s="32" t="n"/>
      <c r="G157" s="32" t="n"/>
      <c r="H157" s="48">
        <f>IFERROR(VLOOKUP(A157,F_Tabelle,10,FALSE),"")</f>
        <v/>
      </c>
      <c r="I157" s="49">
        <f>IF(OR(D157="",F157=""),"",IF(F157=0,"",EDATE(D157,F157)))</f>
        <v/>
      </c>
      <c r="J157" s="50">
        <f>IF(I157="","",I157-TODAY())</f>
        <v/>
      </c>
      <c r="K157" s="48">
        <f>IF(OR(E157="",G157=""),"",IF(G157=0,"",E157+G157))</f>
        <v/>
      </c>
      <c r="L157" s="48">
        <f>IF(OR(K157="",H157=""),"",K157-H157)</f>
        <v/>
      </c>
      <c r="M157" s="50">
        <f>IF(AND(J157="",L157=""),"",IF(OR(AND(J157&lt;&gt;"",J157&lt;0),AND(L157&lt;&gt;"",L157&lt;0)),"🔴 Überfällig",IF(OR(AND(J157&lt;&gt;"",J157&lt;=30),AND(L157&lt;&gt;"",L157&lt;=1000)),"🟡 Bald fällig","🟢 OK")))</f>
        <v/>
      </c>
      <c r="N157" s="40" t="n"/>
    </row>
    <row r="158">
      <c r="A158" s="34" t="n"/>
      <c r="B158" s="34" t="n"/>
      <c r="C158" s="34" t="n"/>
      <c r="D158" s="34" t="n"/>
      <c r="E158" s="34" t="n"/>
      <c r="F158" s="34" t="n"/>
      <c r="G158" s="34" t="n"/>
      <c r="H158" s="48">
        <f>IFERROR(VLOOKUP(A158,F_Tabelle,10,FALSE),"")</f>
        <v/>
      </c>
      <c r="I158" s="49">
        <f>IF(OR(D158="",F158=""),"",IF(F158=0,"",EDATE(D158,F158)))</f>
        <v/>
      </c>
      <c r="J158" s="50">
        <f>IF(I158="","",I158-TODAY())</f>
        <v/>
      </c>
      <c r="K158" s="48">
        <f>IF(OR(E158="",G158=""),"",IF(G158=0,"",E158+G158))</f>
        <v/>
      </c>
      <c r="L158" s="48">
        <f>IF(OR(K158="",H158=""),"",K158-H158)</f>
        <v/>
      </c>
      <c r="M158" s="50">
        <f>IF(AND(J158="",L158=""),"",IF(OR(AND(J158&lt;&gt;"",J158&lt;0),AND(L158&lt;&gt;"",L158&lt;0)),"🔴 Überfällig",IF(OR(AND(J158&lt;&gt;"",J158&lt;=30),AND(L158&lt;&gt;"",L158&lt;=1000)),"🟡 Bald fällig","🟢 OK")))</f>
        <v/>
      </c>
      <c r="N158" s="38" t="n"/>
    </row>
    <row r="159">
      <c r="A159" s="32" t="n"/>
      <c r="B159" s="32" t="n"/>
      <c r="C159" s="32" t="n"/>
      <c r="D159" s="32" t="n"/>
      <c r="E159" s="32" t="n"/>
      <c r="F159" s="32" t="n"/>
      <c r="G159" s="32" t="n"/>
      <c r="H159" s="48">
        <f>IFERROR(VLOOKUP(A159,F_Tabelle,10,FALSE),"")</f>
        <v/>
      </c>
      <c r="I159" s="49">
        <f>IF(OR(D159="",F159=""),"",IF(F159=0,"",EDATE(D159,F159)))</f>
        <v/>
      </c>
      <c r="J159" s="50">
        <f>IF(I159="","",I159-TODAY())</f>
        <v/>
      </c>
      <c r="K159" s="48">
        <f>IF(OR(E159="",G159=""),"",IF(G159=0,"",E159+G159))</f>
        <v/>
      </c>
      <c r="L159" s="48">
        <f>IF(OR(K159="",H159=""),"",K159-H159)</f>
        <v/>
      </c>
      <c r="M159" s="50">
        <f>IF(AND(J159="",L159=""),"",IF(OR(AND(J159&lt;&gt;"",J159&lt;0),AND(L159&lt;&gt;"",L159&lt;0)),"🔴 Überfällig",IF(OR(AND(J159&lt;&gt;"",J159&lt;=30),AND(L159&lt;&gt;"",L159&lt;=1000)),"🟡 Bald fällig","🟢 OK")))</f>
        <v/>
      </c>
      <c r="N159" s="40" t="n"/>
    </row>
    <row r="160">
      <c r="A160" s="34" t="n"/>
      <c r="B160" s="34" t="n"/>
      <c r="C160" s="34" t="n"/>
      <c r="D160" s="34" t="n"/>
      <c r="E160" s="34" t="n"/>
      <c r="F160" s="34" t="n"/>
      <c r="G160" s="34" t="n"/>
      <c r="H160" s="48">
        <f>IFERROR(VLOOKUP(A160,F_Tabelle,10,FALSE),"")</f>
        <v/>
      </c>
      <c r="I160" s="49">
        <f>IF(OR(D160="",F160=""),"",IF(F160=0,"",EDATE(D160,F160)))</f>
        <v/>
      </c>
      <c r="J160" s="50">
        <f>IF(I160="","",I160-TODAY())</f>
        <v/>
      </c>
      <c r="K160" s="48">
        <f>IF(OR(E160="",G160=""),"",IF(G160=0,"",E160+G160))</f>
        <v/>
      </c>
      <c r="L160" s="48">
        <f>IF(OR(K160="",H160=""),"",K160-H160)</f>
        <v/>
      </c>
      <c r="M160" s="50">
        <f>IF(AND(J160="",L160=""),"",IF(OR(AND(J160&lt;&gt;"",J160&lt;0),AND(L160&lt;&gt;"",L160&lt;0)),"🔴 Überfällig",IF(OR(AND(J160&lt;&gt;"",J160&lt;=30),AND(L160&lt;&gt;"",L160&lt;=1000)),"🟡 Bald fällig","🟢 OK")))</f>
        <v/>
      </c>
      <c r="N160" s="38" t="n"/>
    </row>
    <row r="161">
      <c r="A161" s="32" t="n"/>
      <c r="B161" s="32" t="n"/>
      <c r="C161" s="32" t="n"/>
      <c r="D161" s="32" t="n"/>
      <c r="E161" s="32" t="n"/>
      <c r="F161" s="32" t="n"/>
      <c r="G161" s="32" t="n"/>
      <c r="H161" s="48">
        <f>IFERROR(VLOOKUP(A161,F_Tabelle,10,FALSE),"")</f>
        <v/>
      </c>
      <c r="I161" s="49">
        <f>IF(OR(D161="",F161=""),"",IF(F161=0,"",EDATE(D161,F161)))</f>
        <v/>
      </c>
      <c r="J161" s="50">
        <f>IF(I161="","",I161-TODAY())</f>
        <v/>
      </c>
      <c r="K161" s="48">
        <f>IF(OR(E161="",G161=""),"",IF(G161=0,"",E161+G161))</f>
        <v/>
      </c>
      <c r="L161" s="48">
        <f>IF(OR(K161="",H161=""),"",K161-H161)</f>
        <v/>
      </c>
      <c r="M161" s="50">
        <f>IF(AND(J161="",L161=""),"",IF(OR(AND(J161&lt;&gt;"",J161&lt;0),AND(L161&lt;&gt;"",L161&lt;0)),"🔴 Überfällig",IF(OR(AND(J161&lt;&gt;"",J161&lt;=30),AND(L161&lt;&gt;"",L161&lt;=1000)),"🟡 Bald fällig","🟢 OK")))</f>
        <v/>
      </c>
      <c r="N161" s="40" t="n"/>
    </row>
    <row r="162">
      <c r="A162" s="34" t="n"/>
      <c r="B162" s="34" t="n"/>
      <c r="C162" s="34" t="n"/>
      <c r="D162" s="34" t="n"/>
      <c r="E162" s="34" t="n"/>
      <c r="F162" s="34" t="n"/>
      <c r="G162" s="34" t="n"/>
      <c r="H162" s="48">
        <f>IFERROR(VLOOKUP(A162,F_Tabelle,10,FALSE),"")</f>
        <v/>
      </c>
      <c r="I162" s="49">
        <f>IF(OR(D162="",F162=""),"",IF(F162=0,"",EDATE(D162,F162)))</f>
        <v/>
      </c>
      <c r="J162" s="50">
        <f>IF(I162="","",I162-TODAY())</f>
        <v/>
      </c>
      <c r="K162" s="48">
        <f>IF(OR(E162="",G162=""),"",IF(G162=0,"",E162+G162))</f>
        <v/>
      </c>
      <c r="L162" s="48">
        <f>IF(OR(K162="",H162=""),"",K162-H162)</f>
        <v/>
      </c>
      <c r="M162" s="50">
        <f>IF(AND(J162="",L162=""),"",IF(OR(AND(J162&lt;&gt;"",J162&lt;0),AND(L162&lt;&gt;"",L162&lt;0)),"🔴 Überfällig",IF(OR(AND(J162&lt;&gt;"",J162&lt;=30),AND(L162&lt;&gt;"",L162&lt;=1000)),"🟡 Bald fällig","🟢 OK")))</f>
        <v/>
      </c>
      <c r="N162" s="38" t="n"/>
    </row>
    <row r="163">
      <c r="A163" s="32" t="n"/>
      <c r="B163" s="32" t="n"/>
      <c r="C163" s="32" t="n"/>
      <c r="D163" s="32" t="n"/>
      <c r="E163" s="32" t="n"/>
      <c r="F163" s="32" t="n"/>
      <c r="G163" s="32" t="n"/>
      <c r="H163" s="48">
        <f>IFERROR(VLOOKUP(A163,F_Tabelle,10,FALSE),"")</f>
        <v/>
      </c>
      <c r="I163" s="49">
        <f>IF(OR(D163="",F163=""),"",IF(F163=0,"",EDATE(D163,F163)))</f>
        <v/>
      </c>
      <c r="J163" s="50">
        <f>IF(I163="","",I163-TODAY())</f>
        <v/>
      </c>
      <c r="K163" s="48">
        <f>IF(OR(E163="",G163=""),"",IF(G163=0,"",E163+G163))</f>
        <v/>
      </c>
      <c r="L163" s="48">
        <f>IF(OR(K163="",H163=""),"",K163-H163)</f>
        <v/>
      </c>
      <c r="M163" s="50">
        <f>IF(AND(J163="",L163=""),"",IF(OR(AND(J163&lt;&gt;"",J163&lt;0),AND(L163&lt;&gt;"",L163&lt;0)),"🔴 Überfällig",IF(OR(AND(J163&lt;&gt;"",J163&lt;=30),AND(L163&lt;&gt;"",L163&lt;=1000)),"🟡 Bald fällig","🟢 OK")))</f>
        <v/>
      </c>
      <c r="N163" s="40" t="n"/>
    </row>
    <row r="164">
      <c r="A164" s="34" t="n"/>
      <c r="B164" s="34" t="n"/>
      <c r="C164" s="34" t="n"/>
      <c r="D164" s="34" t="n"/>
      <c r="E164" s="34" t="n"/>
      <c r="F164" s="34" t="n"/>
      <c r="G164" s="34" t="n"/>
      <c r="H164" s="48">
        <f>IFERROR(VLOOKUP(A164,F_Tabelle,10,FALSE),"")</f>
        <v/>
      </c>
      <c r="I164" s="49">
        <f>IF(OR(D164="",F164=""),"",IF(F164=0,"",EDATE(D164,F164)))</f>
        <v/>
      </c>
      <c r="J164" s="50">
        <f>IF(I164="","",I164-TODAY())</f>
        <v/>
      </c>
      <c r="K164" s="48">
        <f>IF(OR(E164="",G164=""),"",IF(G164=0,"",E164+G164))</f>
        <v/>
      </c>
      <c r="L164" s="48">
        <f>IF(OR(K164="",H164=""),"",K164-H164)</f>
        <v/>
      </c>
      <c r="M164" s="50">
        <f>IF(AND(J164="",L164=""),"",IF(OR(AND(J164&lt;&gt;"",J164&lt;0),AND(L164&lt;&gt;"",L164&lt;0)),"🔴 Überfällig",IF(OR(AND(J164&lt;&gt;"",J164&lt;=30),AND(L164&lt;&gt;"",L164&lt;=1000)),"🟡 Bald fällig","🟢 OK")))</f>
        <v/>
      </c>
      <c r="N164" s="38" t="n"/>
    </row>
    <row r="165">
      <c r="A165" s="32" t="n"/>
      <c r="B165" s="32" t="n"/>
      <c r="C165" s="32" t="n"/>
      <c r="D165" s="32" t="n"/>
      <c r="E165" s="32" t="n"/>
      <c r="F165" s="32" t="n"/>
      <c r="G165" s="32" t="n"/>
      <c r="H165" s="48">
        <f>IFERROR(VLOOKUP(A165,F_Tabelle,10,FALSE),"")</f>
        <v/>
      </c>
      <c r="I165" s="49">
        <f>IF(OR(D165="",F165=""),"",IF(F165=0,"",EDATE(D165,F165)))</f>
        <v/>
      </c>
      <c r="J165" s="50">
        <f>IF(I165="","",I165-TODAY())</f>
        <v/>
      </c>
      <c r="K165" s="48">
        <f>IF(OR(E165="",G165=""),"",IF(G165=0,"",E165+G165))</f>
        <v/>
      </c>
      <c r="L165" s="48">
        <f>IF(OR(K165="",H165=""),"",K165-H165)</f>
        <v/>
      </c>
      <c r="M165" s="50">
        <f>IF(AND(J165="",L165=""),"",IF(OR(AND(J165&lt;&gt;"",J165&lt;0),AND(L165&lt;&gt;"",L165&lt;0)),"🔴 Überfällig",IF(OR(AND(J165&lt;&gt;"",J165&lt;=30),AND(L165&lt;&gt;"",L165&lt;=1000)),"🟡 Bald fällig","🟢 OK")))</f>
        <v/>
      </c>
      <c r="N165" s="40" t="n"/>
    </row>
    <row r="166">
      <c r="A166" s="34" t="n"/>
      <c r="B166" s="34" t="n"/>
      <c r="C166" s="34" t="n"/>
      <c r="D166" s="34" t="n"/>
      <c r="E166" s="34" t="n"/>
      <c r="F166" s="34" t="n"/>
      <c r="G166" s="34" t="n"/>
      <c r="H166" s="48">
        <f>IFERROR(VLOOKUP(A166,F_Tabelle,10,FALSE),"")</f>
        <v/>
      </c>
      <c r="I166" s="49">
        <f>IF(OR(D166="",F166=""),"",IF(F166=0,"",EDATE(D166,F166)))</f>
        <v/>
      </c>
      <c r="J166" s="50">
        <f>IF(I166="","",I166-TODAY())</f>
        <v/>
      </c>
      <c r="K166" s="48">
        <f>IF(OR(E166="",G166=""),"",IF(G166=0,"",E166+G166))</f>
        <v/>
      </c>
      <c r="L166" s="48">
        <f>IF(OR(K166="",H166=""),"",K166-H166)</f>
        <v/>
      </c>
      <c r="M166" s="50">
        <f>IF(AND(J166="",L166=""),"",IF(OR(AND(J166&lt;&gt;"",J166&lt;0),AND(L166&lt;&gt;"",L166&lt;0)),"🔴 Überfällig",IF(OR(AND(J166&lt;&gt;"",J166&lt;=30),AND(L166&lt;&gt;"",L166&lt;=1000)),"🟡 Bald fällig","🟢 OK")))</f>
        <v/>
      </c>
      <c r="N166" s="38" t="n"/>
    </row>
    <row r="167">
      <c r="A167" s="32" t="n"/>
      <c r="B167" s="32" t="n"/>
      <c r="C167" s="32" t="n"/>
      <c r="D167" s="32" t="n"/>
      <c r="E167" s="32" t="n"/>
      <c r="F167" s="32" t="n"/>
      <c r="G167" s="32" t="n"/>
      <c r="H167" s="48">
        <f>IFERROR(VLOOKUP(A167,F_Tabelle,10,FALSE),"")</f>
        <v/>
      </c>
      <c r="I167" s="49">
        <f>IF(OR(D167="",F167=""),"",IF(F167=0,"",EDATE(D167,F167)))</f>
        <v/>
      </c>
      <c r="J167" s="50">
        <f>IF(I167="","",I167-TODAY())</f>
        <v/>
      </c>
      <c r="K167" s="48">
        <f>IF(OR(E167="",G167=""),"",IF(G167=0,"",E167+G167))</f>
        <v/>
      </c>
      <c r="L167" s="48">
        <f>IF(OR(K167="",H167=""),"",K167-H167)</f>
        <v/>
      </c>
      <c r="M167" s="50">
        <f>IF(AND(J167="",L167=""),"",IF(OR(AND(J167&lt;&gt;"",J167&lt;0),AND(L167&lt;&gt;"",L167&lt;0)),"🔴 Überfällig",IF(OR(AND(J167&lt;&gt;"",J167&lt;=30),AND(L167&lt;&gt;"",L167&lt;=1000)),"🟡 Bald fällig","🟢 OK")))</f>
        <v/>
      </c>
      <c r="N167" s="40" t="n"/>
    </row>
    <row r="168">
      <c r="A168" s="34" t="n"/>
      <c r="B168" s="34" t="n"/>
      <c r="C168" s="34" t="n"/>
      <c r="D168" s="34" t="n"/>
      <c r="E168" s="34" t="n"/>
      <c r="F168" s="34" t="n"/>
      <c r="G168" s="34" t="n"/>
      <c r="H168" s="48">
        <f>IFERROR(VLOOKUP(A168,F_Tabelle,10,FALSE),"")</f>
        <v/>
      </c>
      <c r="I168" s="49">
        <f>IF(OR(D168="",F168=""),"",IF(F168=0,"",EDATE(D168,F168)))</f>
        <v/>
      </c>
      <c r="J168" s="50">
        <f>IF(I168="","",I168-TODAY())</f>
        <v/>
      </c>
      <c r="K168" s="48">
        <f>IF(OR(E168="",G168=""),"",IF(G168=0,"",E168+G168))</f>
        <v/>
      </c>
      <c r="L168" s="48">
        <f>IF(OR(K168="",H168=""),"",K168-H168)</f>
        <v/>
      </c>
      <c r="M168" s="50">
        <f>IF(AND(J168="",L168=""),"",IF(OR(AND(J168&lt;&gt;"",J168&lt;0),AND(L168&lt;&gt;"",L168&lt;0)),"🔴 Überfällig",IF(OR(AND(J168&lt;&gt;"",J168&lt;=30),AND(L168&lt;&gt;"",L168&lt;=1000)),"🟡 Bald fällig","🟢 OK")))</f>
        <v/>
      </c>
      <c r="N168" s="38" t="n"/>
    </row>
    <row r="169">
      <c r="A169" s="32" t="n"/>
      <c r="B169" s="32" t="n"/>
      <c r="C169" s="32" t="n"/>
      <c r="D169" s="32" t="n"/>
      <c r="E169" s="32" t="n"/>
      <c r="F169" s="32" t="n"/>
      <c r="G169" s="32" t="n"/>
      <c r="H169" s="48">
        <f>IFERROR(VLOOKUP(A169,F_Tabelle,10,FALSE),"")</f>
        <v/>
      </c>
      <c r="I169" s="49">
        <f>IF(OR(D169="",F169=""),"",IF(F169=0,"",EDATE(D169,F169)))</f>
        <v/>
      </c>
      <c r="J169" s="50">
        <f>IF(I169="","",I169-TODAY())</f>
        <v/>
      </c>
      <c r="K169" s="48">
        <f>IF(OR(E169="",G169=""),"",IF(G169=0,"",E169+G169))</f>
        <v/>
      </c>
      <c r="L169" s="48">
        <f>IF(OR(K169="",H169=""),"",K169-H169)</f>
        <v/>
      </c>
      <c r="M169" s="50">
        <f>IF(AND(J169="",L169=""),"",IF(OR(AND(J169&lt;&gt;"",J169&lt;0),AND(L169&lt;&gt;"",L169&lt;0)),"🔴 Überfällig",IF(OR(AND(J169&lt;&gt;"",J169&lt;=30),AND(L169&lt;&gt;"",L169&lt;=1000)),"🟡 Bald fällig","🟢 OK")))</f>
        <v/>
      </c>
      <c r="N169" s="40" t="n"/>
    </row>
    <row r="170">
      <c r="A170" s="34" t="n"/>
      <c r="B170" s="34" t="n"/>
      <c r="C170" s="34" t="n"/>
      <c r="D170" s="34" t="n"/>
      <c r="E170" s="34" t="n"/>
      <c r="F170" s="34" t="n"/>
      <c r="G170" s="34" t="n"/>
      <c r="H170" s="48">
        <f>IFERROR(VLOOKUP(A170,F_Tabelle,10,FALSE),"")</f>
        <v/>
      </c>
      <c r="I170" s="49">
        <f>IF(OR(D170="",F170=""),"",IF(F170=0,"",EDATE(D170,F170)))</f>
        <v/>
      </c>
      <c r="J170" s="50">
        <f>IF(I170="","",I170-TODAY())</f>
        <v/>
      </c>
      <c r="K170" s="48">
        <f>IF(OR(E170="",G170=""),"",IF(G170=0,"",E170+G170))</f>
        <v/>
      </c>
      <c r="L170" s="48">
        <f>IF(OR(K170="",H170=""),"",K170-H170)</f>
        <v/>
      </c>
      <c r="M170" s="50">
        <f>IF(AND(J170="",L170=""),"",IF(OR(AND(J170&lt;&gt;"",J170&lt;0),AND(L170&lt;&gt;"",L170&lt;0)),"🔴 Überfällig",IF(OR(AND(J170&lt;&gt;"",J170&lt;=30),AND(L170&lt;&gt;"",L170&lt;=1000)),"🟡 Bald fällig","🟢 OK")))</f>
        <v/>
      </c>
      <c r="N170" s="38" t="n"/>
    </row>
    <row r="171">
      <c r="A171" s="32" t="n"/>
      <c r="B171" s="32" t="n"/>
      <c r="C171" s="32" t="n"/>
      <c r="D171" s="32" t="n"/>
      <c r="E171" s="32" t="n"/>
      <c r="F171" s="32" t="n"/>
      <c r="G171" s="32" t="n"/>
      <c r="H171" s="48">
        <f>IFERROR(VLOOKUP(A171,F_Tabelle,10,FALSE),"")</f>
        <v/>
      </c>
      <c r="I171" s="49">
        <f>IF(OR(D171="",F171=""),"",IF(F171=0,"",EDATE(D171,F171)))</f>
        <v/>
      </c>
      <c r="J171" s="50">
        <f>IF(I171="","",I171-TODAY())</f>
        <v/>
      </c>
      <c r="K171" s="48">
        <f>IF(OR(E171="",G171=""),"",IF(G171=0,"",E171+G171))</f>
        <v/>
      </c>
      <c r="L171" s="48">
        <f>IF(OR(K171="",H171=""),"",K171-H171)</f>
        <v/>
      </c>
      <c r="M171" s="50">
        <f>IF(AND(J171="",L171=""),"",IF(OR(AND(J171&lt;&gt;"",J171&lt;0),AND(L171&lt;&gt;"",L171&lt;0)),"🔴 Überfällig",IF(OR(AND(J171&lt;&gt;"",J171&lt;=30),AND(L171&lt;&gt;"",L171&lt;=1000)),"🟡 Bald fällig","🟢 OK")))</f>
        <v/>
      </c>
      <c r="N171" s="40" t="n"/>
    </row>
    <row r="172">
      <c r="A172" s="34" t="n"/>
      <c r="B172" s="34" t="n"/>
      <c r="C172" s="34" t="n"/>
      <c r="D172" s="34" t="n"/>
      <c r="E172" s="34" t="n"/>
      <c r="F172" s="34" t="n"/>
      <c r="G172" s="34" t="n"/>
      <c r="H172" s="48">
        <f>IFERROR(VLOOKUP(A172,F_Tabelle,10,FALSE),"")</f>
        <v/>
      </c>
      <c r="I172" s="49">
        <f>IF(OR(D172="",F172=""),"",IF(F172=0,"",EDATE(D172,F172)))</f>
        <v/>
      </c>
      <c r="J172" s="50">
        <f>IF(I172="","",I172-TODAY())</f>
        <v/>
      </c>
      <c r="K172" s="48">
        <f>IF(OR(E172="",G172=""),"",IF(G172=0,"",E172+G172))</f>
        <v/>
      </c>
      <c r="L172" s="48">
        <f>IF(OR(K172="",H172=""),"",K172-H172)</f>
        <v/>
      </c>
      <c r="M172" s="50">
        <f>IF(AND(J172="",L172=""),"",IF(OR(AND(J172&lt;&gt;"",J172&lt;0),AND(L172&lt;&gt;"",L172&lt;0)),"🔴 Überfällig",IF(OR(AND(J172&lt;&gt;"",J172&lt;=30),AND(L172&lt;&gt;"",L172&lt;=1000)),"🟡 Bald fällig","🟢 OK")))</f>
        <v/>
      </c>
      <c r="N172" s="38" t="n"/>
    </row>
    <row r="173">
      <c r="A173" s="32" t="n"/>
      <c r="B173" s="32" t="n"/>
      <c r="C173" s="32" t="n"/>
      <c r="D173" s="32" t="n"/>
      <c r="E173" s="32" t="n"/>
      <c r="F173" s="32" t="n"/>
      <c r="G173" s="32" t="n"/>
      <c r="H173" s="48">
        <f>IFERROR(VLOOKUP(A173,F_Tabelle,10,FALSE),"")</f>
        <v/>
      </c>
      <c r="I173" s="49">
        <f>IF(OR(D173="",F173=""),"",IF(F173=0,"",EDATE(D173,F173)))</f>
        <v/>
      </c>
      <c r="J173" s="50">
        <f>IF(I173="","",I173-TODAY())</f>
        <v/>
      </c>
      <c r="K173" s="48">
        <f>IF(OR(E173="",G173=""),"",IF(G173=0,"",E173+G173))</f>
        <v/>
      </c>
      <c r="L173" s="48">
        <f>IF(OR(K173="",H173=""),"",K173-H173)</f>
        <v/>
      </c>
      <c r="M173" s="50">
        <f>IF(AND(J173="",L173=""),"",IF(OR(AND(J173&lt;&gt;"",J173&lt;0),AND(L173&lt;&gt;"",L173&lt;0)),"🔴 Überfällig",IF(OR(AND(J173&lt;&gt;"",J173&lt;=30),AND(L173&lt;&gt;"",L173&lt;=1000)),"🟡 Bald fällig","🟢 OK")))</f>
        <v/>
      </c>
      <c r="N173" s="40" t="n"/>
    </row>
    <row r="174">
      <c r="A174" s="34" t="n"/>
      <c r="B174" s="34" t="n"/>
      <c r="C174" s="34" t="n"/>
      <c r="D174" s="34" t="n"/>
      <c r="E174" s="34" t="n"/>
      <c r="F174" s="34" t="n"/>
      <c r="G174" s="34" t="n"/>
      <c r="H174" s="48">
        <f>IFERROR(VLOOKUP(A174,F_Tabelle,10,FALSE),"")</f>
        <v/>
      </c>
      <c r="I174" s="49">
        <f>IF(OR(D174="",F174=""),"",IF(F174=0,"",EDATE(D174,F174)))</f>
        <v/>
      </c>
      <c r="J174" s="50">
        <f>IF(I174="","",I174-TODAY())</f>
        <v/>
      </c>
      <c r="K174" s="48">
        <f>IF(OR(E174="",G174=""),"",IF(G174=0,"",E174+G174))</f>
        <v/>
      </c>
      <c r="L174" s="48">
        <f>IF(OR(K174="",H174=""),"",K174-H174)</f>
        <v/>
      </c>
      <c r="M174" s="50">
        <f>IF(AND(J174="",L174=""),"",IF(OR(AND(J174&lt;&gt;"",J174&lt;0),AND(L174&lt;&gt;"",L174&lt;0)),"🔴 Überfällig",IF(OR(AND(J174&lt;&gt;"",J174&lt;=30),AND(L174&lt;&gt;"",L174&lt;=1000)),"🟡 Bald fällig","🟢 OK")))</f>
        <v/>
      </c>
      <c r="N174" s="38" t="n"/>
    </row>
    <row r="175">
      <c r="A175" s="32" t="n"/>
      <c r="B175" s="32" t="n"/>
      <c r="C175" s="32" t="n"/>
      <c r="D175" s="32" t="n"/>
      <c r="E175" s="32" t="n"/>
      <c r="F175" s="32" t="n"/>
      <c r="G175" s="32" t="n"/>
      <c r="H175" s="48">
        <f>IFERROR(VLOOKUP(A175,F_Tabelle,10,FALSE),"")</f>
        <v/>
      </c>
      <c r="I175" s="49">
        <f>IF(OR(D175="",F175=""),"",IF(F175=0,"",EDATE(D175,F175)))</f>
        <v/>
      </c>
      <c r="J175" s="50">
        <f>IF(I175="","",I175-TODAY())</f>
        <v/>
      </c>
      <c r="K175" s="48">
        <f>IF(OR(E175="",G175=""),"",IF(G175=0,"",E175+G175))</f>
        <v/>
      </c>
      <c r="L175" s="48">
        <f>IF(OR(K175="",H175=""),"",K175-H175)</f>
        <v/>
      </c>
      <c r="M175" s="50">
        <f>IF(AND(J175="",L175=""),"",IF(OR(AND(J175&lt;&gt;"",J175&lt;0),AND(L175&lt;&gt;"",L175&lt;0)),"🔴 Überfällig",IF(OR(AND(J175&lt;&gt;"",J175&lt;=30),AND(L175&lt;&gt;"",L175&lt;=1000)),"🟡 Bald fällig","🟢 OK")))</f>
        <v/>
      </c>
      <c r="N175" s="40" t="n"/>
    </row>
    <row r="176">
      <c r="A176" s="34" t="n"/>
      <c r="B176" s="34" t="n"/>
      <c r="C176" s="34" t="n"/>
      <c r="D176" s="34" t="n"/>
      <c r="E176" s="34" t="n"/>
      <c r="F176" s="34" t="n"/>
      <c r="G176" s="34" t="n"/>
      <c r="H176" s="48">
        <f>IFERROR(VLOOKUP(A176,F_Tabelle,10,FALSE),"")</f>
        <v/>
      </c>
      <c r="I176" s="49">
        <f>IF(OR(D176="",F176=""),"",IF(F176=0,"",EDATE(D176,F176)))</f>
        <v/>
      </c>
      <c r="J176" s="50">
        <f>IF(I176="","",I176-TODAY())</f>
        <v/>
      </c>
      <c r="K176" s="48">
        <f>IF(OR(E176="",G176=""),"",IF(G176=0,"",E176+G176))</f>
        <v/>
      </c>
      <c r="L176" s="48">
        <f>IF(OR(K176="",H176=""),"",K176-H176)</f>
        <v/>
      </c>
      <c r="M176" s="50">
        <f>IF(AND(J176="",L176=""),"",IF(OR(AND(J176&lt;&gt;"",J176&lt;0),AND(L176&lt;&gt;"",L176&lt;0)),"🔴 Überfällig",IF(OR(AND(J176&lt;&gt;"",J176&lt;=30),AND(L176&lt;&gt;"",L176&lt;=1000)),"🟡 Bald fällig","🟢 OK")))</f>
        <v/>
      </c>
      <c r="N176" s="38" t="n"/>
    </row>
    <row r="177">
      <c r="A177" s="32" t="n"/>
      <c r="B177" s="32" t="n"/>
      <c r="C177" s="32" t="n"/>
      <c r="D177" s="32" t="n"/>
      <c r="E177" s="32" t="n"/>
      <c r="F177" s="32" t="n"/>
      <c r="G177" s="32" t="n"/>
      <c r="H177" s="48">
        <f>IFERROR(VLOOKUP(A177,F_Tabelle,10,FALSE),"")</f>
        <v/>
      </c>
      <c r="I177" s="49">
        <f>IF(OR(D177="",F177=""),"",IF(F177=0,"",EDATE(D177,F177)))</f>
        <v/>
      </c>
      <c r="J177" s="50">
        <f>IF(I177="","",I177-TODAY())</f>
        <v/>
      </c>
      <c r="K177" s="48">
        <f>IF(OR(E177="",G177=""),"",IF(G177=0,"",E177+G177))</f>
        <v/>
      </c>
      <c r="L177" s="48">
        <f>IF(OR(K177="",H177=""),"",K177-H177)</f>
        <v/>
      </c>
      <c r="M177" s="50">
        <f>IF(AND(J177="",L177=""),"",IF(OR(AND(J177&lt;&gt;"",J177&lt;0),AND(L177&lt;&gt;"",L177&lt;0)),"🔴 Überfällig",IF(OR(AND(J177&lt;&gt;"",J177&lt;=30),AND(L177&lt;&gt;"",L177&lt;=1000)),"🟡 Bald fällig","🟢 OK")))</f>
        <v/>
      </c>
      <c r="N177" s="40" t="n"/>
    </row>
    <row r="178">
      <c r="A178" s="34" t="n"/>
      <c r="B178" s="34" t="n"/>
      <c r="C178" s="34" t="n"/>
      <c r="D178" s="34" t="n"/>
      <c r="E178" s="34" t="n"/>
      <c r="F178" s="34" t="n"/>
      <c r="G178" s="34" t="n"/>
      <c r="H178" s="48">
        <f>IFERROR(VLOOKUP(A178,F_Tabelle,10,FALSE),"")</f>
        <v/>
      </c>
      <c r="I178" s="49">
        <f>IF(OR(D178="",F178=""),"",IF(F178=0,"",EDATE(D178,F178)))</f>
        <v/>
      </c>
      <c r="J178" s="50">
        <f>IF(I178="","",I178-TODAY())</f>
        <v/>
      </c>
      <c r="K178" s="48">
        <f>IF(OR(E178="",G178=""),"",IF(G178=0,"",E178+G178))</f>
        <v/>
      </c>
      <c r="L178" s="48">
        <f>IF(OR(K178="",H178=""),"",K178-H178)</f>
        <v/>
      </c>
      <c r="M178" s="50">
        <f>IF(AND(J178="",L178=""),"",IF(OR(AND(J178&lt;&gt;"",J178&lt;0),AND(L178&lt;&gt;"",L178&lt;0)),"🔴 Überfällig",IF(OR(AND(J178&lt;&gt;"",J178&lt;=30),AND(L178&lt;&gt;"",L178&lt;=1000)),"🟡 Bald fällig","🟢 OK")))</f>
        <v/>
      </c>
      <c r="N178" s="38" t="n"/>
    </row>
    <row r="179">
      <c r="A179" s="32" t="n"/>
      <c r="B179" s="32" t="n"/>
      <c r="C179" s="32" t="n"/>
      <c r="D179" s="32" t="n"/>
      <c r="E179" s="32" t="n"/>
      <c r="F179" s="32" t="n"/>
      <c r="G179" s="32" t="n"/>
      <c r="H179" s="48">
        <f>IFERROR(VLOOKUP(A179,F_Tabelle,10,FALSE),"")</f>
        <v/>
      </c>
      <c r="I179" s="49">
        <f>IF(OR(D179="",F179=""),"",IF(F179=0,"",EDATE(D179,F179)))</f>
        <v/>
      </c>
      <c r="J179" s="50">
        <f>IF(I179="","",I179-TODAY())</f>
        <v/>
      </c>
      <c r="K179" s="48">
        <f>IF(OR(E179="",G179=""),"",IF(G179=0,"",E179+G179))</f>
        <v/>
      </c>
      <c r="L179" s="48">
        <f>IF(OR(K179="",H179=""),"",K179-H179)</f>
        <v/>
      </c>
      <c r="M179" s="50">
        <f>IF(AND(J179="",L179=""),"",IF(OR(AND(J179&lt;&gt;"",J179&lt;0),AND(L179&lt;&gt;"",L179&lt;0)),"🔴 Überfällig",IF(OR(AND(J179&lt;&gt;"",J179&lt;=30),AND(L179&lt;&gt;"",L179&lt;=1000)),"🟡 Bald fällig","🟢 OK")))</f>
        <v/>
      </c>
      <c r="N179" s="40" t="n"/>
    </row>
    <row r="180">
      <c r="A180" s="34" t="n"/>
      <c r="B180" s="34" t="n"/>
      <c r="C180" s="34" t="n"/>
      <c r="D180" s="34" t="n"/>
      <c r="E180" s="34" t="n"/>
      <c r="F180" s="34" t="n"/>
      <c r="G180" s="34" t="n"/>
      <c r="H180" s="48">
        <f>IFERROR(VLOOKUP(A180,F_Tabelle,10,FALSE),"")</f>
        <v/>
      </c>
      <c r="I180" s="49">
        <f>IF(OR(D180="",F180=""),"",IF(F180=0,"",EDATE(D180,F180)))</f>
        <v/>
      </c>
      <c r="J180" s="50">
        <f>IF(I180="","",I180-TODAY())</f>
        <v/>
      </c>
      <c r="K180" s="48">
        <f>IF(OR(E180="",G180=""),"",IF(G180=0,"",E180+G180))</f>
        <v/>
      </c>
      <c r="L180" s="48">
        <f>IF(OR(K180="",H180=""),"",K180-H180)</f>
        <v/>
      </c>
      <c r="M180" s="50">
        <f>IF(AND(J180="",L180=""),"",IF(OR(AND(J180&lt;&gt;"",J180&lt;0),AND(L180&lt;&gt;"",L180&lt;0)),"🔴 Überfällig",IF(OR(AND(J180&lt;&gt;"",J180&lt;=30),AND(L180&lt;&gt;"",L180&lt;=1000)),"🟡 Bald fällig","🟢 OK")))</f>
        <v/>
      </c>
      <c r="N180" s="38" t="n"/>
    </row>
    <row r="181">
      <c r="A181" s="32" t="n"/>
      <c r="B181" s="32" t="n"/>
      <c r="C181" s="32" t="n"/>
      <c r="D181" s="32" t="n"/>
      <c r="E181" s="32" t="n"/>
      <c r="F181" s="32" t="n"/>
      <c r="G181" s="32" t="n"/>
      <c r="H181" s="48">
        <f>IFERROR(VLOOKUP(A181,F_Tabelle,10,FALSE),"")</f>
        <v/>
      </c>
      <c r="I181" s="49">
        <f>IF(OR(D181="",F181=""),"",IF(F181=0,"",EDATE(D181,F181)))</f>
        <v/>
      </c>
      <c r="J181" s="50">
        <f>IF(I181="","",I181-TODAY())</f>
        <v/>
      </c>
      <c r="K181" s="48">
        <f>IF(OR(E181="",G181=""),"",IF(G181=0,"",E181+G181))</f>
        <v/>
      </c>
      <c r="L181" s="48">
        <f>IF(OR(K181="",H181=""),"",K181-H181)</f>
        <v/>
      </c>
      <c r="M181" s="50">
        <f>IF(AND(J181="",L181=""),"",IF(OR(AND(J181&lt;&gt;"",J181&lt;0),AND(L181&lt;&gt;"",L181&lt;0)),"🔴 Überfällig",IF(OR(AND(J181&lt;&gt;"",J181&lt;=30),AND(L181&lt;&gt;"",L181&lt;=1000)),"🟡 Bald fällig","🟢 OK")))</f>
        <v/>
      </c>
      <c r="N181" s="40" t="n"/>
    </row>
    <row r="182">
      <c r="A182" s="34" t="n"/>
      <c r="B182" s="34" t="n"/>
      <c r="C182" s="34" t="n"/>
      <c r="D182" s="34" t="n"/>
      <c r="E182" s="34" t="n"/>
      <c r="F182" s="34" t="n"/>
      <c r="G182" s="34" t="n"/>
      <c r="H182" s="48">
        <f>IFERROR(VLOOKUP(A182,F_Tabelle,10,FALSE),"")</f>
        <v/>
      </c>
      <c r="I182" s="49">
        <f>IF(OR(D182="",F182=""),"",IF(F182=0,"",EDATE(D182,F182)))</f>
        <v/>
      </c>
      <c r="J182" s="50">
        <f>IF(I182="","",I182-TODAY())</f>
        <v/>
      </c>
      <c r="K182" s="48">
        <f>IF(OR(E182="",G182=""),"",IF(G182=0,"",E182+G182))</f>
        <v/>
      </c>
      <c r="L182" s="48">
        <f>IF(OR(K182="",H182=""),"",K182-H182)</f>
        <v/>
      </c>
      <c r="M182" s="50">
        <f>IF(AND(J182="",L182=""),"",IF(OR(AND(J182&lt;&gt;"",J182&lt;0),AND(L182&lt;&gt;"",L182&lt;0)),"🔴 Überfällig",IF(OR(AND(J182&lt;&gt;"",J182&lt;=30),AND(L182&lt;&gt;"",L182&lt;=1000)),"🟡 Bald fällig","🟢 OK")))</f>
        <v/>
      </c>
      <c r="N182" s="38" t="n"/>
    </row>
    <row r="183">
      <c r="A183" s="32" t="n"/>
      <c r="B183" s="32" t="n"/>
      <c r="C183" s="32" t="n"/>
      <c r="D183" s="32" t="n"/>
      <c r="E183" s="32" t="n"/>
      <c r="F183" s="32" t="n"/>
      <c r="G183" s="32" t="n"/>
      <c r="H183" s="48">
        <f>IFERROR(VLOOKUP(A183,F_Tabelle,10,FALSE),"")</f>
        <v/>
      </c>
      <c r="I183" s="49">
        <f>IF(OR(D183="",F183=""),"",IF(F183=0,"",EDATE(D183,F183)))</f>
        <v/>
      </c>
      <c r="J183" s="50">
        <f>IF(I183="","",I183-TODAY())</f>
        <v/>
      </c>
      <c r="K183" s="48">
        <f>IF(OR(E183="",G183=""),"",IF(G183=0,"",E183+G183))</f>
        <v/>
      </c>
      <c r="L183" s="48">
        <f>IF(OR(K183="",H183=""),"",K183-H183)</f>
        <v/>
      </c>
      <c r="M183" s="50">
        <f>IF(AND(J183="",L183=""),"",IF(OR(AND(J183&lt;&gt;"",J183&lt;0),AND(L183&lt;&gt;"",L183&lt;0)),"🔴 Überfällig",IF(OR(AND(J183&lt;&gt;"",J183&lt;=30),AND(L183&lt;&gt;"",L183&lt;=1000)),"🟡 Bald fällig","🟢 OK")))</f>
        <v/>
      </c>
      <c r="N183" s="40" t="n"/>
    </row>
    <row r="184">
      <c r="A184" s="34" t="n"/>
      <c r="B184" s="34" t="n"/>
      <c r="C184" s="34" t="n"/>
      <c r="D184" s="34" t="n"/>
      <c r="E184" s="34" t="n"/>
      <c r="F184" s="34" t="n"/>
      <c r="G184" s="34" t="n"/>
      <c r="H184" s="48">
        <f>IFERROR(VLOOKUP(A184,F_Tabelle,10,FALSE),"")</f>
        <v/>
      </c>
      <c r="I184" s="49">
        <f>IF(OR(D184="",F184=""),"",IF(F184=0,"",EDATE(D184,F184)))</f>
        <v/>
      </c>
      <c r="J184" s="50">
        <f>IF(I184="","",I184-TODAY())</f>
        <v/>
      </c>
      <c r="K184" s="48">
        <f>IF(OR(E184="",G184=""),"",IF(G184=0,"",E184+G184))</f>
        <v/>
      </c>
      <c r="L184" s="48">
        <f>IF(OR(K184="",H184=""),"",K184-H184)</f>
        <v/>
      </c>
      <c r="M184" s="50">
        <f>IF(AND(J184="",L184=""),"",IF(OR(AND(J184&lt;&gt;"",J184&lt;0),AND(L184&lt;&gt;"",L184&lt;0)),"🔴 Überfällig",IF(OR(AND(J184&lt;&gt;"",J184&lt;=30),AND(L184&lt;&gt;"",L184&lt;=1000)),"🟡 Bald fällig","🟢 OK")))</f>
        <v/>
      </c>
      <c r="N184" s="38" t="n"/>
    </row>
    <row r="185">
      <c r="A185" s="32" t="n"/>
      <c r="B185" s="32" t="n"/>
      <c r="C185" s="32" t="n"/>
      <c r="D185" s="32" t="n"/>
      <c r="E185" s="32" t="n"/>
      <c r="F185" s="32" t="n"/>
      <c r="G185" s="32" t="n"/>
      <c r="H185" s="48">
        <f>IFERROR(VLOOKUP(A185,F_Tabelle,10,FALSE),"")</f>
        <v/>
      </c>
      <c r="I185" s="49">
        <f>IF(OR(D185="",F185=""),"",IF(F185=0,"",EDATE(D185,F185)))</f>
        <v/>
      </c>
      <c r="J185" s="50">
        <f>IF(I185="","",I185-TODAY())</f>
        <v/>
      </c>
      <c r="K185" s="48">
        <f>IF(OR(E185="",G185=""),"",IF(G185=0,"",E185+G185))</f>
        <v/>
      </c>
      <c r="L185" s="48">
        <f>IF(OR(K185="",H185=""),"",K185-H185)</f>
        <v/>
      </c>
      <c r="M185" s="50">
        <f>IF(AND(J185="",L185=""),"",IF(OR(AND(J185&lt;&gt;"",J185&lt;0),AND(L185&lt;&gt;"",L185&lt;0)),"🔴 Überfällig",IF(OR(AND(J185&lt;&gt;"",J185&lt;=30),AND(L185&lt;&gt;"",L185&lt;=1000)),"🟡 Bald fällig","🟢 OK")))</f>
        <v/>
      </c>
      <c r="N185" s="40" t="n"/>
    </row>
    <row r="186">
      <c r="A186" s="34" t="n"/>
      <c r="B186" s="34" t="n"/>
      <c r="C186" s="34" t="n"/>
      <c r="D186" s="34" t="n"/>
      <c r="E186" s="34" t="n"/>
      <c r="F186" s="34" t="n"/>
      <c r="G186" s="34" t="n"/>
      <c r="H186" s="48">
        <f>IFERROR(VLOOKUP(A186,F_Tabelle,10,FALSE),"")</f>
        <v/>
      </c>
      <c r="I186" s="49">
        <f>IF(OR(D186="",F186=""),"",IF(F186=0,"",EDATE(D186,F186)))</f>
        <v/>
      </c>
      <c r="J186" s="50">
        <f>IF(I186="","",I186-TODAY())</f>
        <v/>
      </c>
      <c r="K186" s="48">
        <f>IF(OR(E186="",G186=""),"",IF(G186=0,"",E186+G186))</f>
        <v/>
      </c>
      <c r="L186" s="48">
        <f>IF(OR(K186="",H186=""),"",K186-H186)</f>
        <v/>
      </c>
      <c r="M186" s="50">
        <f>IF(AND(J186="",L186=""),"",IF(OR(AND(J186&lt;&gt;"",J186&lt;0),AND(L186&lt;&gt;"",L186&lt;0)),"🔴 Überfällig",IF(OR(AND(J186&lt;&gt;"",J186&lt;=30),AND(L186&lt;&gt;"",L186&lt;=1000)),"🟡 Bald fällig","🟢 OK")))</f>
        <v/>
      </c>
      <c r="N186" s="38" t="n"/>
    </row>
    <row r="187">
      <c r="A187" s="32" t="n"/>
      <c r="B187" s="32" t="n"/>
      <c r="C187" s="32" t="n"/>
      <c r="D187" s="32" t="n"/>
      <c r="E187" s="32" t="n"/>
      <c r="F187" s="32" t="n"/>
      <c r="G187" s="32" t="n"/>
      <c r="H187" s="48">
        <f>IFERROR(VLOOKUP(A187,F_Tabelle,10,FALSE),"")</f>
        <v/>
      </c>
      <c r="I187" s="49">
        <f>IF(OR(D187="",F187=""),"",IF(F187=0,"",EDATE(D187,F187)))</f>
        <v/>
      </c>
      <c r="J187" s="50">
        <f>IF(I187="","",I187-TODAY())</f>
        <v/>
      </c>
      <c r="K187" s="48">
        <f>IF(OR(E187="",G187=""),"",IF(G187=0,"",E187+G187))</f>
        <v/>
      </c>
      <c r="L187" s="48">
        <f>IF(OR(K187="",H187=""),"",K187-H187)</f>
        <v/>
      </c>
      <c r="M187" s="50">
        <f>IF(AND(J187="",L187=""),"",IF(OR(AND(J187&lt;&gt;"",J187&lt;0),AND(L187&lt;&gt;"",L187&lt;0)),"🔴 Überfällig",IF(OR(AND(J187&lt;&gt;"",J187&lt;=30),AND(L187&lt;&gt;"",L187&lt;=1000)),"🟡 Bald fällig","🟢 OK")))</f>
        <v/>
      </c>
      <c r="N187" s="40" t="n"/>
    </row>
    <row r="188">
      <c r="A188" s="34" t="n"/>
      <c r="B188" s="34" t="n"/>
      <c r="C188" s="34" t="n"/>
      <c r="D188" s="34" t="n"/>
      <c r="E188" s="34" t="n"/>
      <c r="F188" s="34" t="n"/>
      <c r="G188" s="34" t="n"/>
      <c r="H188" s="48">
        <f>IFERROR(VLOOKUP(A188,F_Tabelle,10,FALSE),"")</f>
        <v/>
      </c>
      <c r="I188" s="49">
        <f>IF(OR(D188="",F188=""),"",IF(F188=0,"",EDATE(D188,F188)))</f>
        <v/>
      </c>
      <c r="J188" s="50">
        <f>IF(I188="","",I188-TODAY())</f>
        <v/>
      </c>
      <c r="K188" s="48">
        <f>IF(OR(E188="",G188=""),"",IF(G188=0,"",E188+G188))</f>
        <v/>
      </c>
      <c r="L188" s="48">
        <f>IF(OR(K188="",H188=""),"",K188-H188)</f>
        <v/>
      </c>
      <c r="M188" s="50">
        <f>IF(AND(J188="",L188=""),"",IF(OR(AND(J188&lt;&gt;"",J188&lt;0),AND(L188&lt;&gt;"",L188&lt;0)),"🔴 Überfällig",IF(OR(AND(J188&lt;&gt;"",J188&lt;=30),AND(L188&lt;&gt;"",L188&lt;=1000)),"🟡 Bald fällig","🟢 OK")))</f>
        <v/>
      </c>
      <c r="N188" s="38" t="n"/>
    </row>
    <row r="189">
      <c r="A189" s="32" t="n"/>
      <c r="B189" s="32" t="n"/>
      <c r="C189" s="32" t="n"/>
      <c r="D189" s="32" t="n"/>
      <c r="E189" s="32" t="n"/>
      <c r="F189" s="32" t="n"/>
      <c r="G189" s="32" t="n"/>
      <c r="H189" s="48">
        <f>IFERROR(VLOOKUP(A189,F_Tabelle,10,FALSE),"")</f>
        <v/>
      </c>
      <c r="I189" s="49">
        <f>IF(OR(D189="",F189=""),"",IF(F189=0,"",EDATE(D189,F189)))</f>
        <v/>
      </c>
      <c r="J189" s="50">
        <f>IF(I189="","",I189-TODAY())</f>
        <v/>
      </c>
      <c r="K189" s="48">
        <f>IF(OR(E189="",G189=""),"",IF(G189=0,"",E189+G189))</f>
        <v/>
      </c>
      <c r="L189" s="48">
        <f>IF(OR(K189="",H189=""),"",K189-H189)</f>
        <v/>
      </c>
      <c r="M189" s="50">
        <f>IF(AND(J189="",L189=""),"",IF(OR(AND(J189&lt;&gt;"",J189&lt;0),AND(L189&lt;&gt;"",L189&lt;0)),"🔴 Überfällig",IF(OR(AND(J189&lt;&gt;"",J189&lt;=30),AND(L189&lt;&gt;"",L189&lt;=1000)),"🟡 Bald fällig","🟢 OK")))</f>
        <v/>
      </c>
      <c r="N189" s="40" t="n"/>
    </row>
    <row r="190">
      <c r="A190" s="34" t="n"/>
      <c r="B190" s="34" t="n"/>
      <c r="C190" s="34" t="n"/>
      <c r="D190" s="34" t="n"/>
      <c r="E190" s="34" t="n"/>
      <c r="F190" s="34" t="n"/>
      <c r="G190" s="34" t="n"/>
      <c r="H190" s="48">
        <f>IFERROR(VLOOKUP(A190,F_Tabelle,10,FALSE),"")</f>
        <v/>
      </c>
      <c r="I190" s="49">
        <f>IF(OR(D190="",F190=""),"",IF(F190=0,"",EDATE(D190,F190)))</f>
        <v/>
      </c>
      <c r="J190" s="50">
        <f>IF(I190="","",I190-TODAY())</f>
        <v/>
      </c>
      <c r="K190" s="48">
        <f>IF(OR(E190="",G190=""),"",IF(G190=0,"",E190+G190))</f>
        <v/>
      </c>
      <c r="L190" s="48">
        <f>IF(OR(K190="",H190=""),"",K190-H190)</f>
        <v/>
      </c>
      <c r="M190" s="50">
        <f>IF(AND(J190="",L190=""),"",IF(OR(AND(J190&lt;&gt;"",J190&lt;0),AND(L190&lt;&gt;"",L190&lt;0)),"🔴 Überfällig",IF(OR(AND(J190&lt;&gt;"",J190&lt;=30),AND(L190&lt;&gt;"",L190&lt;=1000)),"🟡 Bald fällig","🟢 OK")))</f>
        <v/>
      </c>
      <c r="N190" s="38" t="n"/>
    </row>
    <row r="191">
      <c r="A191" s="32" t="n"/>
      <c r="B191" s="32" t="n"/>
      <c r="C191" s="32" t="n"/>
      <c r="D191" s="32" t="n"/>
      <c r="E191" s="32" t="n"/>
      <c r="F191" s="32" t="n"/>
      <c r="G191" s="32" t="n"/>
      <c r="H191" s="48">
        <f>IFERROR(VLOOKUP(A191,F_Tabelle,10,FALSE),"")</f>
        <v/>
      </c>
      <c r="I191" s="49">
        <f>IF(OR(D191="",F191=""),"",IF(F191=0,"",EDATE(D191,F191)))</f>
        <v/>
      </c>
      <c r="J191" s="50">
        <f>IF(I191="","",I191-TODAY())</f>
        <v/>
      </c>
      <c r="K191" s="48">
        <f>IF(OR(E191="",G191=""),"",IF(G191=0,"",E191+G191))</f>
        <v/>
      </c>
      <c r="L191" s="48">
        <f>IF(OR(K191="",H191=""),"",K191-H191)</f>
        <v/>
      </c>
      <c r="M191" s="50">
        <f>IF(AND(J191="",L191=""),"",IF(OR(AND(J191&lt;&gt;"",J191&lt;0),AND(L191&lt;&gt;"",L191&lt;0)),"🔴 Überfällig",IF(OR(AND(J191&lt;&gt;"",J191&lt;=30),AND(L191&lt;&gt;"",L191&lt;=1000)),"🟡 Bald fällig","🟢 OK")))</f>
        <v/>
      </c>
      <c r="N191" s="40" t="n"/>
    </row>
    <row r="192">
      <c r="A192" s="34" t="n"/>
      <c r="B192" s="34" t="n"/>
      <c r="C192" s="34" t="n"/>
      <c r="D192" s="34" t="n"/>
      <c r="E192" s="34" t="n"/>
      <c r="F192" s="34" t="n"/>
      <c r="G192" s="34" t="n"/>
      <c r="H192" s="48">
        <f>IFERROR(VLOOKUP(A192,F_Tabelle,10,FALSE),"")</f>
        <v/>
      </c>
      <c r="I192" s="49">
        <f>IF(OR(D192="",F192=""),"",IF(F192=0,"",EDATE(D192,F192)))</f>
        <v/>
      </c>
      <c r="J192" s="50">
        <f>IF(I192="","",I192-TODAY())</f>
        <v/>
      </c>
      <c r="K192" s="48">
        <f>IF(OR(E192="",G192=""),"",IF(G192=0,"",E192+G192))</f>
        <v/>
      </c>
      <c r="L192" s="48">
        <f>IF(OR(K192="",H192=""),"",K192-H192)</f>
        <v/>
      </c>
      <c r="M192" s="50">
        <f>IF(AND(J192="",L192=""),"",IF(OR(AND(J192&lt;&gt;"",J192&lt;0),AND(L192&lt;&gt;"",L192&lt;0)),"🔴 Überfällig",IF(OR(AND(J192&lt;&gt;"",J192&lt;=30),AND(L192&lt;&gt;"",L192&lt;=1000)),"🟡 Bald fällig","🟢 OK")))</f>
        <v/>
      </c>
      <c r="N192" s="38" t="n"/>
    </row>
    <row r="193">
      <c r="A193" s="32" t="n"/>
      <c r="B193" s="32" t="n"/>
      <c r="C193" s="32" t="n"/>
      <c r="D193" s="32" t="n"/>
      <c r="E193" s="32" t="n"/>
      <c r="F193" s="32" t="n"/>
      <c r="G193" s="32" t="n"/>
      <c r="H193" s="48">
        <f>IFERROR(VLOOKUP(A193,F_Tabelle,10,FALSE),"")</f>
        <v/>
      </c>
      <c r="I193" s="49">
        <f>IF(OR(D193="",F193=""),"",IF(F193=0,"",EDATE(D193,F193)))</f>
        <v/>
      </c>
      <c r="J193" s="50">
        <f>IF(I193="","",I193-TODAY())</f>
        <v/>
      </c>
      <c r="K193" s="48">
        <f>IF(OR(E193="",G193=""),"",IF(G193=0,"",E193+G193))</f>
        <v/>
      </c>
      <c r="L193" s="48">
        <f>IF(OR(K193="",H193=""),"",K193-H193)</f>
        <v/>
      </c>
      <c r="M193" s="50">
        <f>IF(AND(J193="",L193=""),"",IF(OR(AND(J193&lt;&gt;"",J193&lt;0),AND(L193&lt;&gt;"",L193&lt;0)),"🔴 Überfällig",IF(OR(AND(J193&lt;&gt;"",J193&lt;=30),AND(L193&lt;&gt;"",L193&lt;=1000)),"🟡 Bald fällig","🟢 OK")))</f>
        <v/>
      </c>
      <c r="N193" s="40" t="n"/>
    </row>
    <row r="194">
      <c r="A194" s="34" t="n"/>
      <c r="B194" s="34" t="n"/>
      <c r="C194" s="34" t="n"/>
      <c r="D194" s="34" t="n"/>
      <c r="E194" s="34" t="n"/>
      <c r="F194" s="34" t="n"/>
      <c r="G194" s="34" t="n"/>
      <c r="H194" s="48">
        <f>IFERROR(VLOOKUP(A194,F_Tabelle,10,FALSE),"")</f>
        <v/>
      </c>
      <c r="I194" s="49">
        <f>IF(OR(D194="",F194=""),"",IF(F194=0,"",EDATE(D194,F194)))</f>
        <v/>
      </c>
      <c r="J194" s="50">
        <f>IF(I194="","",I194-TODAY())</f>
        <v/>
      </c>
      <c r="K194" s="48">
        <f>IF(OR(E194="",G194=""),"",IF(G194=0,"",E194+G194))</f>
        <v/>
      </c>
      <c r="L194" s="48">
        <f>IF(OR(K194="",H194=""),"",K194-H194)</f>
        <v/>
      </c>
      <c r="M194" s="50">
        <f>IF(AND(J194="",L194=""),"",IF(OR(AND(J194&lt;&gt;"",J194&lt;0),AND(L194&lt;&gt;"",L194&lt;0)),"🔴 Überfällig",IF(OR(AND(J194&lt;&gt;"",J194&lt;=30),AND(L194&lt;&gt;"",L194&lt;=1000)),"🟡 Bald fällig","🟢 OK")))</f>
        <v/>
      </c>
      <c r="N194" s="38" t="n"/>
    </row>
    <row r="195">
      <c r="A195" s="32" t="n"/>
      <c r="B195" s="32" t="n"/>
      <c r="C195" s="32" t="n"/>
      <c r="D195" s="32" t="n"/>
      <c r="E195" s="32" t="n"/>
      <c r="F195" s="32" t="n"/>
      <c r="G195" s="32" t="n"/>
      <c r="H195" s="48">
        <f>IFERROR(VLOOKUP(A195,F_Tabelle,10,FALSE),"")</f>
        <v/>
      </c>
      <c r="I195" s="49">
        <f>IF(OR(D195="",F195=""),"",IF(F195=0,"",EDATE(D195,F195)))</f>
        <v/>
      </c>
      <c r="J195" s="50">
        <f>IF(I195="","",I195-TODAY())</f>
        <v/>
      </c>
      <c r="K195" s="48">
        <f>IF(OR(E195="",G195=""),"",IF(G195=0,"",E195+G195))</f>
        <v/>
      </c>
      <c r="L195" s="48">
        <f>IF(OR(K195="",H195=""),"",K195-H195)</f>
        <v/>
      </c>
      <c r="M195" s="50">
        <f>IF(AND(J195="",L195=""),"",IF(OR(AND(J195&lt;&gt;"",J195&lt;0),AND(L195&lt;&gt;"",L195&lt;0)),"🔴 Überfällig",IF(OR(AND(J195&lt;&gt;"",J195&lt;=30),AND(L195&lt;&gt;"",L195&lt;=1000)),"🟡 Bald fällig","🟢 OK")))</f>
        <v/>
      </c>
      <c r="N195" s="40" t="n"/>
    </row>
    <row r="196">
      <c r="A196" s="34" t="n"/>
      <c r="B196" s="34" t="n"/>
      <c r="C196" s="34" t="n"/>
      <c r="D196" s="34" t="n"/>
      <c r="E196" s="34" t="n"/>
      <c r="F196" s="34" t="n"/>
      <c r="G196" s="34" t="n"/>
      <c r="H196" s="48">
        <f>IFERROR(VLOOKUP(A196,F_Tabelle,10,FALSE),"")</f>
        <v/>
      </c>
      <c r="I196" s="49">
        <f>IF(OR(D196="",F196=""),"",IF(F196=0,"",EDATE(D196,F196)))</f>
        <v/>
      </c>
      <c r="J196" s="50">
        <f>IF(I196="","",I196-TODAY())</f>
        <v/>
      </c>
      <c r="K196" s="48">
        <f>IF(OR(E196="",G196=""),"",IF(G196=0,"",E196+G196))</f>
        <v/>
      </c>
      <c r="L196" s="48">
        <f>IF(OR(K196="",H196=""),"",K196-H196)</f>
        <v/>
      </c>
      <c r="M196" s="50">
        <f>IF(AND(J196="",L196=""),"",IF(OR(AND(J196&lt;&gt;"",J196&lt;0),AND(L196&lt;&gt;"",L196&lt;0)),"🔴 Überfällig",IF(OR(AND(J196&lt;&gt;"",J196&lt;=30),AND(L196&lt;&gt;"",L196&lt;=1000)),"🟡 Bald fällig","🟢 OK")))</f>
        <v/>
      </c>
      <c r="N196" s="38" t="n"/>
    </row>
    <row r="197">
      <c r="A197" s="32" t="n"/>
      <c r="B197" s="32" t="n"/>
      <c r="C197" s="32" t="n"/>
      <c r="D197" s="32" t="n"/>
      <c r="E197" s="32" t="n"/>
      <c r="F197" s="32" t="n"/>
      <c r="G197" s="32" t="n"/>
      <c r="H197" s="48">
        <f>IFERROR(VLOOKUP(A197,F_Tabelle,10,FALSE),"")</f>
        <v/>
      </c>
      <c r="I197" s="49">
        <f>IF(OR(D197="",F197=""),"",IF(F197=0,"",EDATE(D197,F197)))</f>
        <v/>
      </c>
      <c r="J197" s="50">
        <f>IF(I197="","",I197-TODAY())</f>
        <v/>
      </c>
      <c r="K197" s="48">
        <f>IF(OR(E197="",G197=""),"",IF(G197=0,"",E197+G197))</f>
        <v/>
      </c>
      <c r="L197" s="48">
        <f>IF(OR(K197="",H197=""),"",K197-H197)</f>
        <v/>
      </c>
      <c r="M197" s="50">
        <f>IF(AND(J197="",L197=""),"",IF(OR(AND(J197&lt;&gt;"",J197&lt;0),AND(L197&lt;&gt;"",L197&lt;0)),"🔴 Überfällig",IF(OR(AND(J197&lt;&gt;"",J197&lt;=30),AND(L197&lt;&gt;"",L197&lt;=1000)),"🟡 Bald fällig","🟢 OK")))</f>
        <v/>
      </c>
      <c r="N197" s="40" t="n"/>
    </row>
    <row r="198">
      <c r="A198" s="34" t="n"/>
      <c r="B198" s="34" t="n"/>
      <c r="C198" s="34" t="n"/>
      <c r="D198" s="34" t="n"/>
      <c r="E198" s="34" t="n"/>
      <c r="F198" s="34" t="n"/>
      <c r="G198" s="34" t="n"/>
      <c r="H198" s="48">
        <f>IFERROR(VLOOKUP(A198,F_Tabelle,10,FALSE),"")</f>
        <v/>
      </c>
      <c r="I198" s="49">
        <f>IF(OR(D198="",F198=""),"",IF(F198=0,"",EDATE(D198,F198)))</f>
        <v/>
      </c>
      <c r="J198" s="50">
        <f>IF(I198="","",I198-TODAY())</f>
        <v/>
      </c>
      <c r="K198" s="48">
        <f>IF(OR(E198="",G198=""),"",IF(G198=0,"",E198+G198))</f>
        <v/>
      </c>
      <c r="L198" s="48">
        <f>IF(OR(K198="",H198=""),"",K198-H198)</f>
        <v/>
      </c>
      <c r="M198" s="50">
        <f>IF(AND(J198="",L198=""),"",IF(OR(AND(J198&lt;&gt;"",J198&lt;0),AND(L198&lt;&gt;"",L198&lt;0)),"🔴 Überfällig",IF(OR(AND(J198&lt;&gt;"",J198&lt;=30),AND(L198&lt;&gt;"",L198&lt;=1000)),"🟡 Bald fällig","🟢 OK")))</f>
        <v/>
      </c>
      <c r="N198" s="38" t="n"/>
    </row>
    <row r="199">
      <c r="A199" s="32" t="n"/>
      <c r="B199" s="32" t="n"/>
      <c r="C199" s="32" t="n"/>
      <c r="D199" s="32" t="n"/>
      <c r="E199" s="32" t="n"/>
      <c r="F199" s="32" t="n"/>
      <c r="G199" s="32" t="n"/>
      <c r="H199" s="48">
        <f>IFERROR(VLOOKUP(A199,F_Tabelle,10,FALSE),"")</f>
        <v/>
      </c>
      <c r="I199" s="49">
        <f>IF(OR(D199="",F199=""),"",IF(F199=0,"",EDATE(D199,F199)))</f>
        <v/>
      </c>
      <c r="J199" s="50">
        <f>IF(I199="","",I199-TODAY())</f>
        <v/>
      </c>
      <c r="K199" s="48">
        <f>IF(OR(E199="",G199=""),"",IF(G199=0,"",E199+G199))</f>
        <v/>
      </c>
      <c r="L199" s="48">
        <f>IF(OR(K199="",H199=""),"",K199-H199)</f>
        <v/>
      </c>
      <c r="M199" s="50">
        <f>IF(AND(J199="",L199=""),"",IF(OR(AND(J199&lt;&gt;"",J199&lt;0),AND(L199&lt;&gt;"",L199&lt;0)),"🔴 Überfällig",IF(OR(AND(J199&lt;&gt;"",J199&lt;=30),AND(L199&lt;&gt;"",L199&lt;=1000)),"🟡 Bald fällig","🟢 OK")))</f>
        <v/>
      </c>
      <c r="N199" s="40" t="n"/>
    </row>
    <row r="200">
      <c r="A200" s="34" t="n"/>
      <c r="B200" s="34" t="n"/>
      <c r="C200" s="34" t="n"/>
      <c r="D200" s="34" t="n"/>
      <c r="E200" s="34" t="n"/>
      <c r="F200" s="34" t="n"/>
      <c r="G200" s="34" t="n"/>
      <c r="H200" s="48">
        <f>IFERROR(VLOOKUP(A200,F_Tabelle,10,FALSE),"")</f>
        <v/>
      </c>
      <c r="I200" s="49">
        <f>IF(OR(D200="",F200=""),"",IF(F200=0,"",EDATE(D200,F200)))</f>
        <v/>
      </c>
      <c r="J200" s="50">
        <f>IF(I200="","",I200-TODAY())</f>
        <v/>
      </c>
      <c r="K200" s="48">
        <f>IF(OR(E200="",G200=""),"",IF(G200=0,"",E200+G200))</f>
        <v/>
      </c>
      <c r="L200" s="48">
        <f>IF(OR(K200="",H200=""),"",K200-H200)</f>
        <v/>
      </c>
      <c r="M200" s="50">
        <f>IF(AND(J200="",L200=""),"",IF(OR(AND(J200&lt;&gt;"",J200&lt;0),AND(L200&lt;&gt;"",L200&lt;0)),"🔴 Überfällig",IF(OR(AND(J200&lt;&gt;"",J200&lt;=30),AND(L200&lt;&gt;"",L200&lt;=1000)),"🟡 Bald fällig","🟢 OK")))</f>
        <v/>
      </c>
      <c r="N200" s="38" t="n"/>
    </row>
    <row r="201">
      <c r="A201" s="32" t="n"/>
      <c r="B201" s="32" t="n"/>
      <c r="C201" s="32" t="n"/>
      <c r="D201" s="32" t="n"/>
      <c r="E201" s="32" t="n"/>
      <c r="F201" s="32" t="n"/>
      <c r="G201" s="32" t="n"/>
      <c r="H201" s="48">
        <f>IFERROR(VLOOKUP(A201,F_Tabelle,10,FALSE),"")</f>
        <v/>
      </c>
      <c r="I201" s="49">
        <f>IF(OR(D201="",F201=""),"",IF(F201=0,"",EDATE(D201,F201)))</f>
        <v/>
      </c>
      <c r="J201" s="50">
        <f>IF(I201="","",I201-TODAY())</f>
        <v/>
      </c>
      <c r="K201" s="48">
        <f>IF(OR(E201="",G201=""),"",IF(G201=0,"",E201+G201))</f>
        <v/>
      </c>
      <c r="L201" s="48">
        <f>IF(OR(K201="",H201=""),"",K201-H201)</f>
        <v/>
      </c>
      <c r="M201" s="50">
        <f>IF(AND(J201="",L201=""),"",IF(OR(AND(J201&lt;&gt;"",J201&lt;0),AND(L201&lt;&gt;"",L201&lt;0)),"🔴 Überfällig",IF(OR(AND(J201&lt;&gt;"",J201&lt;=30),AND(L201&lt;&gt;"",L201&lt;=1000)),"🟡 Bald fällig","🟢 OK")))</f>
        <v/>
      </c>
      <c r="N201" s="40" t="n"/>
    </row>
    <row r="202">
      <c r="A202" s="34" t="n"/>
      <c r="B202" s="34" t="n"/>
      <c r="C202" s="34" t="n"/>
      <c r="D202" s="34" t="n"/>
      <c r="E202" s="34" t="n"/>
      <c r="F202" s="34" t="n"/>
      <c r="G202" s="34" t="n"/>
      <c r="H202" s="48">
        <f>IFERROR(VLOOKUP(A202,F_Tabelle,10,FALSE),"")</f>
        <v/>
      </c>
      <c r="I202" s="49">
        <f>IF(OR(D202="",F202=""),"",IF(F202=0,"",EDATE(D202,F202)))</f>
        <v/>
      </c>
      <c r="J202" s="50">
        <f>IF(I202="","",I202-TODAY())</f>
        <v/>
      </c>
      <c r="K202" s="48">
        <f>IF(OR(E202="",G202=""),"",IF(G202=0,"",E202+G202))</f>
        <v/>
      </c>
      <c r="L202" s="48">
        <f>IF(OR(K202="",H202=""),"",K202-H202)</f>
        <v/>
      </c>
      <c r="M202" s="50">
        <f>IF(AND(J202="",L202=""),"",IF(OR(AND(J202&lt;&gt;"",J202&lt;0),AND(L202&lt;&gt;"",L202&lt;0)),"🔴 Überfällig",IF(OR(AND(J202&lt;&gt;"",J202&lt;=30),AND(L202&lt;&gt;"",L202&lt;=1000)),"🟡 Bald fällig","🟢 OK")))</f>
        <v/>
      </c>
      <c r="N202" s="38" t="n"/>
    </row>
    <row r="203">
      <c r="A203" s="32" t="n"/>
      <c r="B203" s="32" t="n"/>
      <c r="C203" s="32" t="n"/>
      <c r="D203" s="32" t="n"/>
      <c r="E203" s="32" t="n"/>
      <c r="F203" s="32" t="n"/>
      <c r="G203" s="32" t="n"/>
      <c r="H203" s="48">
        <f>IFERROR(VLOOKUP(A203,F_Tabelle,10,FALSE),"")</f>
        <v/>
      </c>
      <c r="I203" s="49">
        <f>IF(OR(D203="",F203=""),"",IF(F203=0,"",EDATE(D203,F203)))</f>
        <v/>
      </c>
      <c r="J203" s="50">
        <f>IF(I203="","",I203-TODAY())</f>
        <v/>
      </c>
      <c r="K203" s="48">
        <f>IF(OR(E203="",G203=""),"",IF(G203=0,"",E203+G203))</f>
        <v/>
      </c>
      <c r="L203" s="48">
        <f>IF(OR(K203="",H203=""),"",K203-H203)</f>
        <v/>
      </c>
      <c r="M203" s="50">
        <f>IF(AND(J203="",L203=""),"",IF(OR(AND(J203&lt;&gt;"",J203&lt;0),AND(L203&lt;&gt;"",L203&lt;0)),"🔴 Überfällig",IF(OR(AND(J203&lt;&gt;"",J203&lt;=30),AND(L203&lt;&gt;"",L203&lt;=1000)),"🟡 Bald fällig","🟢 OK")))</f>
        <v/>
      </c>
      <c r="N203" s="40" t="n"/>
    </row>
    <row r="204">
      <c r="A204" s="34" t="n"/>
      <c r="B204" s="34" t="n"/>
      <c r="C204" s="34" t="n"/>
      <c r="D204" s="34" t="n"/>
      <c r="E204" s="34" t="n"/>
      <c r="F204" s="34" t="n"/>
      <c r="G204" s="34" t="n"/>
      <c r="H204" s="48">
        <f>IFERROR(VLOOKUP(A204,F_Tabelle,10,FALSE),"")</f>
        <v/>
      </c>
      <c r="I204" s="49">
        <f>IF(OR(D204="",F204=""),"",IF(F204=0,"",EDATE(D204,F204)))</f>
        <v/>
      </c>
      <c r="J204" s="50">
        <f>IF(I204="","",I204-TODAY())</f>
        <v/>
      </c>
      <c r="K204" s="48">
        <f>IF(OR(E204="",G204=""),"",IF(G204=0,"",E204+G204))</f>
        <v/>
      </c>
      <c r="L204" s="48">
        <f>IF(OR(K204="",H204=""),"",K204-H204)</f>
        <v/>
      </c>
      <c r="M204" s="50">
        <f>IF(AND(J204="",L204=""),"",IF(OR(AND(J204&lt;&gt;"",J204&lt;0),AND(L204&lt;&gt;"",L204&lt;0)),"🔴 Überfällig",IF(OR(AND(J204&lt;&gt;"",J204&lt;=30),AND(L204&lt;&gt;"",L204&lt;=1000)),"🟡 Bald fällig","🟢 OK")))</f>
        <v/>
      </c>
      <c r="N204" s="38" t="n"/>
    </row>
    <row r="205">
      <c r="A205" s="32" t="n"/>
      <c r="B205" s="32" t="n"/>
      <c r="C205" s="32" t="n"/>
      <c r="D205" s="32" t="n"/>
      <c r="E205" s="32" t="n"/>
      <c r="F205" s="32" t="n"/>
      <c r="G205" s="32" t="n"/>
      <c r="H205" s="48">
        <f>IFERROR(VLOOKUP(A205,F_Tabelle,10,FALSE),"")</f>
        <v/>
      </c>
      <c r="I205" s="49">
        <f>IF(OR(D205="",F205=""),"",IF(F205=0,"",EDATE(D205,F205)))</f>
        <v/>
      </c>
      <c r="J205" s="50">
        <f>IF(I205="","",I205-TODAY())</f>
        <v/>
      </c>
      <c r="K205" s="48">
        <f>IF(OR(E205="",G205=""),"",IF(G205=0,"",E205+G205))</f>
        <v/>
      </c>
      <c r="L205" s="48">
        <f>IF(OR(K205="",H205=""),"",K205-H205)</f>
        <v/>
      </c>
      <c r="M205" s="50">
        <f>IF(AND(J205="",L205=""),"",IF(OR(AND(J205&lt;&gt;"",J205&lt;0),AND(L205&lt;&gt;"",L205&lt;0)),"🔴 Überfällig",IF(OR(AND(J205&lt;&gt;"",J205&lt;=30),AND(L205&lt;&gt;"",L205&lt;=1000)),"🟡 Bald fällig","🟢 OK")))</f>
        <v/>
      </c>
      <c r="N205" s="40" t="n"/>
    </row>
    <row r="206">
      <c r="A206" s="34" t="n"/>
      <c r="B206" s="34" t="n"/>
      <c r="C206" s="34" t="n"/>
      <c r="D206" s="34" t="n"/>
      <c r="E206" s="34" t="n"/>
      <c r="F206" s="34" t="n"/>
      <c r="G206" s="34" t="n"/>
      <c r="H206" s="48">
        <f>IFERROR(VLOOKUP(A206,F_Tabelle,10,FALSE),"")</f>
        <v/>
      </c>
      <c r="I206" s="49">
        <f>IF(OR(D206="",F206=""),"",IF(F206=0,"",EDATE(D206,F206)))</f>
        <v/>
      </c>
      <c r="J206" s="50">
        <f>IF(I206="","",I206-TODAY())</f>
        <v/>
      </c>
      <c r="K206" s="48">
        <f>IF(OR(E206="",G206=""),"",IF(G206=0,"",E206+G206))</f>
        <v/>
      </c>
      <c r="L206" s="48">
        <f>IF(OR(K206="",H206=""),"",K206-H206)</f>
        <v/>
      </c>
      <c r="M206" s="50">
        <f>IF(AND(J206="",L206=""),"",IF(OR(AND(J206&lt;&gt;"",J206&lt;0),AND(L206&lt;&gt;"",L206&lt;0)),"🔴 Überfällig",IF(OR(AND(J206&lt;&gt;"",J206&lt;=30),AND(L206&lt;&gt;"",L206&lt;=1000)),"🟡 Bald fällig","🟢 OK")))</f>
        <v/>
      </c>
      <c r="N206" s="38" t="n"/>
    </row>
    <row r="207">
      <c r="A207" s="32" t="n"/>
      <c r="B207" s="32" t="n"/>
      <c r="C207" s="32" t="n"/>
      <c r="D207" s="32" t="n"/>
      <c r="E207" s="32" t="n"/>
      <c r="F207" s="32" t="n"/>
      <c r="G207" s="32" t="n"/>
      <c r="H207" s="48">
        <f>IFERROR(VLOOKUP(A207,F_Tabelle,10,FALSE),"")</f>
        <v/>
      </c>
      <c r="I207" s="49">
        <f>IF(OR(D207="",F207=""),"",IF(F207=0,"",EDATE(D207,F207)))</f>
        <v/>
      </c>
      <c r="J207" s="50">
        <f>IF(I207="","",I207-TODAY())</f>
        <v/>
      </c>
      <c r="K207" s="48">
        <f>IF(OR(E207="",G207=""),"",IF(G207=0,"",E207+G207))</f>
        <v/>
      </c>
      <c r="L207" s="48">
        <f>IF(OR(K207="",H207=""),"",K207-H207)</f>
        <v/>
      </c>
      <c r="M207" s="50">
        <f>IF(AND(J207="",L207=""),"",IF(OR(AND(J207&lt;&gt;"",J207&lt;0),AND(L207&lt;&gt;"",L207&lt;0)),"🔴 Überfällig",IF(OR(AND(J207&lt;&gt;"",J207&lt;=30),AND(L207&lt;&gt;"",L207&lt;=1000)),"🟡 Bald fällig","🟢 OK")))</f>
        <v/>
      </c>
      <c r="N207" s="40" t="n"/>
    </row>
    <row r="208">
      <c r="A208" s="34" t="n"/>
      <c r="B208" s="34" t="n"/>
      <c r="C208" s="34" t="n"/>
      <c r="D208" s="34" t="n"/>
      <c r="E208" s="34" t="n"/>
      <c r="F208" s="34" t="n"/>
      <c r="G208" s="34" t="n"/>
      <c r="H208" s="48">
        <f>IFERROR(VLOOKUP(A208,F_Tabelle,10,FALSE),"")</f>
        <v/>
      </c>
      <c r="I208" s="49">
        <f>IF(OR(D208="",F208=""),"",IF(F208=0,"",EDATE(D208,F208)))</f>
        <v/>
      </c>
      <c r="J208" s="50">
        <f>IF(I208="","",I208-TODAY())</f>
        <v/>
      </c>
      <c r="K208" s="48">
        <f>IF(OR(E208="",G208=""),"",IF(G208=0,"",E208+G208))</f>
        <v/>
      </c>
      <c r="L208" s="48">
        <f>IF(OR(K208="",H208=""),"",K208-H208)</f>
        <v/>
      </c>
      <c r="M208" s="50">
        <f>IF(AND(J208="",L208=""),"",IF(OR(AND(J208&lt;&gt;"",J208&lt;0),AND(L208&lt;&gt;"",L208&lt;0)),"🔴 Überfällig",IF(OR(AND(J208&lt;&gt;"",J208&lt;=30),AND(L208&lt;&gt;"",L208&lt;=1000)),"🟡 Bald fällig","🟢 OK")))</f>
        <v/>
      </c>
      <c r="N208" s="38" t="n"/>
    </row>
    <row r="209">
      <c r="A209" s="32" t="n"/>
      <c r="B209" s="32" t="n"/>
      <c r="C209" s="32" t="n"/>
      <c r="D209" s="32" t="n"/>
      <c r="E209" s="32" t="n"/>
      <c r="F209" s="32" t="n"/>
      <c r="G209" s="32" t="n"/>
      <c r="H209" s="48">
        <f>IFERROR(VLOOKUP(A209,F_Tabelle,10,FALSE),"")</f>
        <v/>
      </c>
      <c r="I209" s="49">
        <f>IF(OR(D209="",F209=""),"",IF(F209=0,"",EDATE(D209,F209)))</f>
        <v/>
      </c>
      <c r="J209" s="50">
        <f>IF(I209="","",I209-TODAY())</f>
        <v/>
      </c>
      <c r="K209" s="48">
        <f>IF(OR(E209="",G209=""),"",IF(G209=0,"",E209+G209))</f>
        <v/>
      </c>
      <c r="L209" s="48">
        <f>IF(OR(K209="",H209=""),"",K209-H209)</f>
        <v/>
      </c>
      <c r="M209" s="50">
        <f>IF(AND(J209="",L209=""),"",IF(OR(AND(J209&lt;&gt;"",J209&lt;0),AND(L209&lt;&gt;"",L209&lt;0)),"🔴 Überfällig",IF(OR(AND(J209&lt;&gt;"",J209&lt;=30),AND(L209&lt;&gt;"",L209&lt;=1000)),"🟡 Bald fällig","🟢 OK")))</f>
        <v/>
      </c>
      <c r="N209" s="40" t="n"/>
    </row>
    <row r="210">
      <c r="A210" s="34" t="n"/>
      <c r="B210" s="34" t="n"/>
      <c r="C210" s="34" t="n"/>
      <c r="D210" s="34" t="n"/>
      <c r="E210" s="34" t="n"/>
      <c r="F210" s="34" t="n"/>
      <c r="G210" s="34" t="n"/>
      <c r="H210" s="48">
        <f>IFERROR(VLOOKUP(A210,F_Tabelle,10,FALSE),"")</f>
        <v/>
      </c>
      <c r="I210" s="49">
        <f>IF(OR(D210="",F210=""),"",IF(F210=0,"",EDATE(D210,F210)))</f>
        <v/>
      </c>
      <c r="J210" s="50">
        <f>IF(I210="","",I210-TODAY())</f>
        <v/>
      </c>
      <c r="K210" s="48">
        <f>IF(OR(E210="",G210=""),"",IF(G210=0,"",E210+G210))</f>
        <v/>
      </c>
      <c r="L210" s="48">
        <f>IF(OR(K210="",H210=""),"",K210-H210)</f>
        <v/>
      </c>
      <c r="M210" s="50">
        <f>IF(AND(J210="",L210=""),"",IF(OR(AND(J210&lt;&gt;"",J210&lt;0),AND(L210&lt;&gt;"",L210&lt;0)),"🔴 Überfällig",IF(OR(AND(J210&lt;&gt;"",J210&lt;=30),AND(L210&lt;&gt;"",L210&lt;=1000)),"🟡 Bald fällig","🟢 OK")))</f>
        <v/>
      </c>
      <c r="N210" s="38" t="n"/>
    </row>
    <row r="211">
      <c r="A211" s="32" t="n"/>
      <c r="B211" s="32" t="n"/>
      <c r="C211" s="32" t="n"/>
      <c r="D211" s="32" t="n"/>
      <c r="E211" s="32" t="n"/>
      <c r="F211" s="32" t="n"/>
      <c r="G211" s="32" t="n"/>
      <c r="H211" s="48">
        <f>IFERROR(VLOOKUP(A211,F_Tabelle,10,FALSE),"")</f>
        <v/>
      </c>
      <c r="I211" s="49">
        <f>IF(OR(D211="",F211=""),"",IF(F211=0,"",EDATE(D211,F211)))</f>
        <v/>
      </c>
      <c r="J211" s="50">
        <f>IF(I211="","",I211-TODAY())</f>
        <v/>
      </c>
      <c r="K211" s="48">
        <f>IF(OR(E211="",G211=""),"",IF(G211=0,"",E211+G211))</f>
        <v/>
      </c>
      <c r="L211" s="48">
        <f>IF(OR(K211="",H211=""),"",K211-H211)</f>
        <v/>
      </c>
      <c r="M211" s="50">
        <f>IF(AND(J211="",L211=""),"",IF(OR(AND(J211&lt;&gt;"",J211&lt;0),AND(L211&lt;&gt;"",L211&lt;0)),"🔴 Überfällig",IF(OR(AND(J211&lt;&gt;"",J211&lt;=30),AND(L211&lt;&gt;"",L211&lt;=1000)),"🟡 Bald fällig","🟢 OK")))</f>
        <v/>
      </c>
      <c r="N211" s="40" t="n"/>
    </row>
    <row r="212">
      <c r="A212" s="34" t="n"/>
      <c r="B212" s="34" t="n"/>
      <c r="C212" s="34" t="n"/>
      <c r="D212" s="34" t="n"/>
      <c r="E212" s="34" t="n"/>
      <c r="F212" s="34" t="n"/>
      <c r="G212" s="34" t="n"/>
      <c r="H212" s="48">
        <f>IFERROR(VLOOKUP(A212,F_Tabelle,10,FALSE),"")</f>
        <v/>
      </c>
      <c r="I212" s="49">
        <f>IF(OR(D212="",F212=""),"",IF(F212=0,"",EDATE(D212,F212)))</f>
        <v/>
      </c>
      <c r="J212" s="50">
        <f>IF(I212="","",I212-TODAY())</f>
        <v/>
      </c>
      <c r="K212" s="48">
        <f>IF(OR(E212="",G212=""),"",IF(G212=0,"",E212+G212))</f>
        <v/>
      </c>
      <c r="L212" s="48">
        <f>IF(OR(K212="",H212=""),"",K212-H212)</f>
        <v/>
      </c>
      <c r="M212" s="50">
        <f>IF(AND(J212="",L212=""),"",IF(OR(AND(J212&lt;&gt;"",J212&lt;0),AND(L212&lt;&gt;"",L212&lt;0)),"🔴 Überfällig",IF(OR(AND(J212&lt;&gt;"",J212&lt;=30),AND(L212&lt;&gt;"",L212&lt;=1000)),"🟡 Bald fällig","🟢 OK")))</f>
        <v/>
      </c>
      <c r="N212" s="38" t="n"/>
    </row>
    <row r="213">
      <c r="A213" s="32" t="n"/>
      <c r="B213" s="32" t="n"/>
      <c r="C213" s="32" t="n"/>
      <c r="D213" s="32" t="n"/>
      <c r="E213" s="32" t="n"/>
      <c r="F213" s="32" t="n"/>
      <c r="G213" s="32" t="n"/>
      <c r="H213" s="48">
        <f>IFERROR(VLOOKUP(A213,F_Tabelle,10,FALSE),"")</f>
        <v/>
      </c>
      <c r="I213" s="49">
        <f>IF(OR(D213="",F213=""),"",IF(F213=0,"",EDATE(D213,F213)))</f>
        <v/>
      </c>
      <c r="J213" s="50">
        <f>IF(I213="","",I213-TODAY())</f>
        <v/>
      </c>
      <c r="K213" s="48">
        <f>IF(OR(E213="",G213=""),"",IF(G213=0,"",E213+G213))</f>
        <v/>
      </c>
      <c r="L213" s="48">
        <f>IF(OR(K213="",H213=""),"",K213-H213)</f>
        <v/>
      </c>
      <c r="M213" s="50">
        <f>IF(AND(J213="",L213=""),"",IF(OR(AND(J213&lt;&gt;"",J213&lt;0),AND(L213&lt;&gt;"",L213&lt;0)),"🔴 Überfällig",IF(OR(AND(J213&lt;&gt;"",J213&lt;=30),AND(L213&lt;&gt;"",L213&lt;=1000)),"🟡 Bald fällig","🟢 OK")))</f>
        <v/>
      </c>
      <c r="N213" s="40" t="n"/>
    </row>
    <row r="214">
      <c r="A214" s="34" t="n"/>
      <c r="B214" s="34" t="n"/>
      <c r="C214" s="34" t="n"/>
      <c r="D214" s="34" t="n"/>
      <c r="E214" s="34" t="n"/>
      <c r="F214" s="34" t="n"/>
      <c r="G214" s="34" t="n"/>
      <c r="H214" s="48">
        <f>IFERROR(VLOOKUP(A214,F_Tabelle,10,FALSE),"")</f>
        <v/>
      </c>
      <c r="I214" s="49">
        <f>IF(OR(D214="",F214=""),"",IF(F214=0,"",EDATE(D214,F214)))</f>
        <v/>
      </c>
      <c r="J214" s="50">
        <f>IF(I214="","",I214-TODAY())</f>
        <v/>
      </c>
      <c r="K214" s="48">
        <f>IF(OR(E214="",G214=""),"",IF(G214=0,"",E214+G214))</f>
        <v/>
      </c>
      <c r="L214" s="48">
        <f>IF(OR(K214="",H214=""),"",K214-H214)</f>
        <v/>
      </c>
      <c r="M214" s="50">
        <f>IF(AND(J214="",L214=""),"",IF(OR(AND(J214&lt;&gt;"",J214&lt;0),AND(L214&lt;&gt;"",L214&lt;0)),"🔴 Überfällig",IF(OR(AND(J214&lt;&gt;"",J214&lt;=30),AND(L214&lt;&gt;"",L214&lt;=1000)),"🟡 Bald fällig","🟢 OK")))</f>
        <v/>
      </c>
      <c r="N214" s="38" t="n"/>
    </row>
    <row r="215">
      <c r="A215" s="32" t="n"/>
      <c r="B215" s="32" t="n"/>
      <c r="C215" s="32" t="n"/>
      <c r="D215" s="32" t="n"/>
      <c r="E215" s="32" t="n"/>
      <c r="F215" s="32" t="n"/>
      <c r="G215" s="32" t="n"/>
      <c r="H215" s="48">
        <f>IFERROR(VLOOKUP(A215,F_Tabelle,10,FALSE),"")</f>
        <v/>
      </c>
      <c r="I215" s="49">
        <f>IF(OR(D215="",F215=""),"",IF(F215=0,"",EDATE(D215,F215)))</f>
        <v/>
      </c>
      <c r="J215" s="50">
        <f>IF(I215="","",I215-TODAY())</f>
        <v/>
      </c>
      <c r="K215" s="48">
        <f>IF(OR(E215="",G215=""),"",IF(G215=0,"",E215+G215))</f>
        <v/>
      </c>
      <c r="L215" s="48">
        <f>IF(OR(K215="",H215=""),"",K215-H215)</f>
        <v/>
      </c>
      <c r="M215" s="50">
        <f>IF(AND(J215="",L215=""),"",IF(OR(AND(J215&lt;&gt;"",J215&lt;0),AND(L215&lt;&gt;"",L215&lt;0)),"🔴 Überfällig",IF(OR(AND(J215&lt;&gt;"",J215&lt;=30),AND(L215&lt;&gt;"",L215&lt;=1000)),"🟡 Bald fällig","🟢 OK")))</f>
        <v/>
      </c>
      <c r="N215" s="40" t="n"/>
    </row>
    <row r="216">
      <c r="A216" s="34" t="n"/>
      <c r="B216" s="34" t="n"/>
      <c r="C216" s="34" t="n"/>
      <c r="D216" s="34" t="n"/>
      <c r="E216" s="34" t="n"/>
      <c r="F216" s="34" t="n"/>
      <c r="G216" s="34" t="n"/>
      <c r="H216" s="48">
        <f>IFERROR(VLOOKUP(A216,F_Tabelle,10,FALSE),"")</f>
        <v/>
      </c>
      <c r="I216" s="49">
        <f>IF(OR(D216="",F216=""),"",IF(F216=0,"",EDATE(D216,F216)))</f>
        <v/>
      </c>
      <c r="J216" s="50">
        <f>IF(I216="","",I216-TODAY())</f>
        <v/>
      </c>
      <c r="K216" s="48">
        <f>IF(OR(E216="",G216=""),"",IF(G216=0,"",E216+G216))</f>
        <v/>
      </c>
      <c r="L216" s="48">
        <f>IF(OR(K216="",H216=""),"",K216-H216)</f>
        <v/>
      </c>
      <c r="M216" s="50">
        <f>IF(AND(J216="",L216=""),"",IF(OR(AND(J216&lt;&gt;"",J216&lt;0),AND(L216&lt;&gt;"",L216&lt;0)),"🔴 Überfällig",IF(OR(AND(J216&lt;&gt;"",J216&lt;=30),AND(L216&lt;&gt;"",L216&lt;=1000)),"🟡 Bald fällig","🟢 OK")))</f>
        <v/>
      </c>
      <c r="N216" s="38" t="n"/>
    </row>
    <row r="217">
      <c r="A217" s="32" t="n"/>
      <c r="B217" s="32" t="n"/>
      <c r="C217" s="32" t="n"/>
      <c r="D217" s="32" t="n"/>
      <c r="E217" s="32" t="n"/>
      <c r="F217" s="32" t="n"/>
      <c r="G217" s="32" t="n"/>
      <c r="H217" s="48">
        <f>IFERROR(VLOOKUP(A217,F_Tabelle,10,FALSE),"")</f>
        <v/>
      </c>
      <c r="I217" s="49">
        <f>IF(OR(D217="",F217=""),"",IF(F217=0,"",EDATE(D217,F217)))</f>
        <v/>
      </c>
      <c r="J217" s="50">
        <f>IF(I217="","",I217-TODAY())</f>
        <v/>
      </c>
      <c r="K217" s="48">
        <f>IF(OR(E217="",G217=""),"",IF(G217=0,"",E217+G217))</f>
        <v/>
      </c>
      <c r="L217" s="48">
        <f>IF(OR(K217="",H217=""),"",K217-H217)</f>
        <v/>
      </c>
      <c r="M217" s="50">
        <f>IF(AND(J217="",L217=""),"",IF(OR(AND(J217&lt;&gt;"",J217&lt;0),AND(L217&lt;&gt;"",L217&lt;0)),"🔴 Überfällig",IF(OR(AND(J217&lt;&gt;"",J217&lt;=30),AND(L217&lt;&gt;"",L217&lt;=1000)),"🟡 Bald fällig","🟢 OK")))</f>
        <v/>
      </c>
      <c r="N217" s="40" t="n"/>
    </row>
    <row r="218">
      <c r="A218" s="34" t="n"/>
      <c r="B218" s="34" t="n"/>
      <c r="C218" s="34" t="n"/>
      <c r="D218" s="34" t="n"/>
      <c r="E218" s="34" t="n"/>
      <c r="F218" s="34" t="n"/>
      <c r="G218" s="34" t="n"/>
      <c r="H218" s="48">
        <f>IFERROR(VLOOKUP(A218,F_Tabelle,10,FALSE),"")</f>
        <v/>
      </c>
      <c r="I218" s="49">
        <f>IF(OR(D218="",F218=""),"",IF(F218=0,"",EDATE(D218,F218)))</f>
        <v/>
      </c>
      <c r="J218" s="50">
        <f>IF(I218="","",I218-TODAY())</f>
        <v/>
      </c>
      <c r="K218" s="48">
        <f>IF(OR(E218="",G218=""),"",IF(G218=0,"",E218+G218))</f>
        <v/>
      </c>
      <c r="L218" s="48">
        <f>IF(OR(K218="",H218=""),"",K218-H218)</f>
        <v/>
      </c>
      <c r="M218" s="50">
        <f>IF(AND(J218="",L218=""),"",IF(OR(AND(J218&lt;&gt;"",J218&lt;0),AND(L218&lt;&gt;"",L218&lt;0)),"🔴 Überfällig",IF(OR(AND(J218&lt;&gt;"",J218&lt;=30),AND(L218&lt;&gt;"",L218&lt;=1000)),"🟡 Bald fällig","🟢 OK")))</f>
        <v/>
      </c>
      <c r="N218" s="38" t="n"/>
    </row>
    <row r="219">
      <c r="A219" s="32" t="n"/>
      <c r="B219" s="32" t="n"/>
      <c r="C219" s="32" t="n"/>
      <c r="D219" s="32" t="n"/>
      <c r="E219" s="32" t="n"/>
      <c r="F219" s="32" t="n"/>
      <c r="G219" s="32" t="n"/>
      <c r="H219" s="48">
        <f>IFERROR(VLOOKUP(A219,F_Tabelle,10,FALSE),"")</f>
        <v/>
      </c>
      <c r="I219" s="49">
        <f>IF(OR(D219="",F219=""),"",IF(F219=0,"",EDATE(D219,F219)))</f>
        <v/>
      </c>
      <c r="J219" s="50">
        <f>IF(I219="","",I219-TODAY())</f>
        <v/>
      </c>
      <c r="K219" s="48">
        <f>IF(OR(E219="",G219=""),"",IF(G219=0,"",E219+G219))</f>
        <v/>
      </c>
      <c r="L219" s="48">
        <f>IF(OR(K219="",H219=""),"",K219-H219)</f>
        <v/>
      </c>
      <c r="M219" s="50">
        <f>IF(AND(J219="",L219=""),"",IF(OR(AND(J219&lt;&gt;"",J219&lt;0),AND(L219&lt;&gt;"",L219&lt;0)),"🔴 Überfällig",IF(OR(AND(J219&lt;&gt;"",J219&lt;=30),AND(L219&lt;&gt;"",L219&lt;=1000)),"🟡 Bald fällig","🟢 OK")))</f>
        <v/>
      </c>
      <c r="N219" s="40" t="n"/>
    </row>
    <row r="220">
      <c r="A220" s="34" t="n"/>
      <c r="B220" s="34" t="n"/>
      <c r="C220" s="34" t="n"/>
      <c r="D220" s="34" t="n"/>
      <c r="E220" s="34" t="n"/>
      <c r="F220" s="34" t="n"/>
      <c r="G220" s="34" t="n"/>
      <c r="H220" s="48">
        <f>IFERROR(VLOOKUP(A220,F_Tabelle,10,FALSE),"")</f>
        <v/>
      </c>
      <c r="I220" s="49">
        <f>IF(OR(D220="",F220=""),"",IF(F220=0,"",EDATE(D220,F220)))</f>
        <v/>
      </c>
      <c r="J220" s="50">
        <f>IF(I220="","",I220-TODAY())</f>
        <v/>
      </c>
      <c r="K220" s="48">
        <f>IF(OR(E220="",G220=""),"",IF(G220=0,"",E220+G220))</f>
        <v/>
      </c>
      <c r="L220" s="48">
        <f>IF(OR(K220="",H220=""),"",K220-H220)</f>
        <v/>
      </c>
      <c r="M220" s="50">
        <f>IF(AND(J220="",L220=""),"",IF(OR(AND(J220&lt;&gt;"",J220&lt;0),AND(L220&lt;&gt;"",L220&lt;0)),"🔴 Überfällig",IF(OR(AND(J220&lt;&gt;"",J220&lt;=30),AND(L220&lt;&gt;"",L220&lt;=1000)),"🟡 Bald fällig","🟢 OK")))</f>
        <v/>
      </c>
      <c r="N220" s="38" t="n"/>
    </row>
    <row r="221">
      <c r="A221" s="32" t="n"/>
      <c r="B221" s="32" t="n"/>
      <c r="C221" s="32" t="n"/>
      <c r="D221" s="32" t="n"/>
      <c r="E221" s="32" t="n"/>
      <c r="F221" s="32" t="n"/>
      <c r="G221" s="32" t="n"/>
      <c r="H221" s="48">
        <f>IFERROR(VLOOKUP(A221,F_Tabelle,10,FALSE),"")</f>
        <v/>
      </c>
      <c r="I221" s="49">
        <f>IF(OR(D221="",F221=""),"",IF(F221=0,"",EDATE(D221,F221)))</f>
        <v/>
      </c>
      <c r="J221" s="50">
        <f>IF(I221="","",I221-TODAY())</f>
        <v/>
      </c>
      <c r="K221" s="48">
        <f>IF(OR(E221="",G221=""),"",IF(G221=0,"",E221+G221))</f>
        <v/>
      </c>
      <c r="L221" s="48">
        <f>IF(OR(K221="",H221=""),"",K221-H221)</f>
        <v/>
      </c>
      <c r="M221" s="50">
        <f>IF(AND(J221="",L221=""),"",IF(OR(AND(J221&lt;&gt;"",J221&lt;0),AND(L221&lt;&gt;"",L221&lt;0)),"🔴 Überfällig",IF(OR(AND(J221&lt;&gt;"",J221&lt;=30),AND(L221&lt;&gt;"",L221&lt;=1000)),"🟡 Bald fällig","🟢 OK")))</f>
        <v/>
      </c>
      <c r="N221" s="40" t="n"/>
    </row>
    <row r="222">
      <c r="A222" s="34" t="n"/>
      <c r="B222" s="34" t="n"/>
      <c r="C222" s="34" t="n"/>
      <c r="D222" s="34" t="n"/>
      <c r="E222" s="34" t="n"/>
      <c r="F222" s="34" t="n"/>
      <c r="G222" s="34" t="n"/>
      <c r="H222" s="48">
        <f>IFERROR(VLOOKUP(A222,F_Tabelle,10,FALSE),"")</f>
        <v/>
      </c>
      <c r="I222" s="49">
        <f>IF(OR(D222="",F222=""),"",IF(F222=0,"",EDATE(D222,F222)))</f>
        <v/>
      </c>
      <c r="J222" s="50">
        <f>IF(I222="","",I222-TODAY())</f>
        <v/>
      </c>
      <c r="K222" s="48">
        <f>IF(OR(E222="",G222=""),"",IF(G222=0,"",E222+G222))</f>
        <v/>
      </c>
      <c r="L222" s="48">
        <f>IF(OR(K222="",H222=""),"",K222-H222)</f>
        <v/>
      </c>
      <c r="M222" s="50">
        <f>IF(AND(J222="",L222=""),"",IF(OR(AND(J222&lt;&gt;"",J222&lt;0),AND(L222&lt;&gt;"",L222&lt;0)),"🔴 Überfällig",IF(OR(AND(J222&lt;&gt;"",J222&lt;=30),AND(L222&lt;&gt;"",L222&lt;=1000)),"🟡 Bald fällig","🟢 OK")))</f>
        <v/>
      </c>
      <c r="N222" s="38" t="n"/>
    </row>
    <row r="223">
      <c r="A223" s="32" t="n"/>
      <c r="B223" s="32" t="n"/>
      <c r="C223" s="32" t="n"/>
      <c r="D223" s="32" t="n"/>
      <c r="E223" s="32" t="n"/>
      <c r="F223" s="32" t="n"/>
      <c r="G223" s="32" t="n"/>
      <c r="H223" s="48">
        <f>IFERROR(VLOOKUP(A223,F_Tabelle,10,FALSE),"")</f>
        <v/>
      </c>
      <c r="I223" s="49">
        <f>IF(OR(D223="",F223=""),"",IF(F223=0,"",EDATE(D223,F223)))</f>
        <v/>
      </c>
      <c r="J223" s="50">
        <f>IF(I223="","",I223-TODAY())</f>
        <v/>
      </c>
      <c r="K223" s="48">
        <f>IF(OR(E223="",G223=""),"",IF(G223=0,"",E223+G223))</f>
        <v/>
      </c>
      <c r="L223" s="48">
        <f>IF(OR(K223="",H223=""),"",K223-H223)</f>
        <v/>
      </c>
      <c r="M223" s="50">
        <f>IF(AND(J223="",L223=""),"",IF(OR(AND(J223&lt;&gt;"",J223&lt;0),AND(L223&lt;&gt;"",L223&lt;0)),"🔴 Überfällig",IF(OR(AND(J223&lt;&gt;"",J223&lt;=30),AND(L223&lt;&gt;"",L223&lt;=1000)),"🟡 Bald fällig","🟢 OK")))</f>
        <v/>
      </c>
      <c r="N223" s="40" t="n"/>
    </row>
    <row r="224">
      <c r="A224" s="34" t="n"/>
      <c r="B224" s="34" t="n"/>
      <c r="C224" s="34" t="n"/>
      <c r="D224" s="34" t="n"/>
      <c r="E224" s="34" t="n"/>
      <c r="F224" s="34" t="n"/>
      <c r="G224" s="34" t="n"/>
      <c r="H224" s="48">
        <f>IFERROR(VLOOKUP(A224,F_Tabelle,10,FALSE),"")</f>
        <v/>
      </c>
      <c r="I224" s="49">
        <f>IF(OR(D224="",F224=""),"",IF(F224=0,"",EDATE(D224,F224)))</f>
        <v/>
      </c>
      <c r="J224" s="50">
        <f>IF(I224="","",I224-TODAY())</f>
        <v/>
      </c>
      <c r="K224" s="48">
        <f>IF(OR(E224="",G224=""),"",IF(G224=0,"",E224+G224))</f>
        <v/>
      </c>
      <c r="L224" s="48">
        <f>IF(OR(K224="",H224=""),"",K224-H224)</f>
        <v/>
      </c>
      <c r="M224" s="50">
        <f>IF(AND(J224="",L224=""),"",IF(OR(AND(J224&lt;&gt;"",J224&lt;0),AND(L224&lt;&gt;"",L224&lt;0)),"🔴 Überfällig",IF(OR(AND(J224&lt;&gt;"",J224&lt;=30),AND(L224&lt;&gt;"",L224&lt;=1000)),"🟡 Bald fällig","🟢 OK")))</f>
        <v/>
      </c>
      <c r="N224" s="38" t="n"/>
    </row>
    <row r="225">
      <c r="A225" s="32" t="n"/>
      <c r="B225" s="32" t="n"/>
      <c r="C225" s="32" t="n"/>
      <c r="D225" s="32" t="n"/>
      <c r="E225" s="32" t="n"/>
      <c r="F225" s="32" t="n"/>
      <c r="G225" s="32" t="n"/>
      <c r="H225" s="48">
        <f>IFERROR(VLOOKUP(A225,F_Tabelle,10,FALSE),"")</f>
        <v/>
      </c>
      <c r="I225" s="49">
        <f>IF(OR(D225="",F225=""),"",IF(F225=0,"",EDATE(D225,F225)))</f>
        <v/>
      </c>
      <c r="J225" s="50">
        <f>IF(I225="","",I225-TODAY())</f>
        <v/>
      </c>
      <c r="K225" s="48">
        <f>IF(OR(E225="",G225=""),"",IF(G225=0,"",E225+G225))</f>
        <v/>
      </c>
      <c r="L225" s="48">
        <f>IF(OR(K225="",H225=""),"",K225-H225)</f>
        <v/>
      </c>
      <c r="M225" s="50">
        <f>IF(AND(J225="",L225=""),"",IF(OR(AND(J225&lt;&gt;"",J225&lt;0),AND(L225&lt;&gt;"",L225&lt;0)),"🔴 Überfällig",IF(OR(AND(J225&lt;&gt;"",J225&lt;=30),AND(L225&lt;&gt;"",L225&lt;=1000)),"🟡 Bald fällig","🟢 OK")))</f>
        <v/>
      </c>
      <c r="N225" s="40" t="n"/>
    </row>
    <row r="226">
      <c r="A226" s="34" t="n"/>
      <c r="B226" s="34" t="n"/>
      <c r="C226" s="34" t="n"/>
      <c r="D226" s="34" t="n"/>
      <c r="E226" s="34" t="n"/>
      <c r="F226" s="34" t="n"/>
      <c r="G226" s="34" t="n"/>
      <c r="H226" s="48">
        <f>IFERROR(VLOOKUP(A226,F_Tabelle,10,FALSE),"")</f>
        <v/>
      </c>
      <c r="I226" s="49">
        <f>IF(OR(D226="",F226=""),"",IF(F226=0,"",EDATE(D226,F226)))</f>
        <v/>
      </c>
      <c r="J226" s="50">
        <f>IF(I226="","",I226-TODAY())</f>
        <v/>
      </c>
      <c r="K226" s="48">
        <f>IF(OR(E226="",G226=""),"",IF(G226=0,"",E226+G226))</f>
        <v/>
      </c>
      <c r="L226" s="48">
        <f>IF(OR(K226="",H226=""),"",K226-H226)</f>
        <v/>
      </c>
      <c r="M226" s="50">
        <f>IF(AND(J226="",L226=""),"",IF(OR(AND(J226&lt;&gt;"",J226&lt;0),AND(L226&lt;&gt;"",L226&lt;0)),"🔴 Überfällig",IF(OR(AND(J226&lt;&gt;"",J226&lt;=30),AND(L226&lt;&gt;"",L226&lt;=1000)),"🟡 Bald fällig","🟢 OK")))</f>
        <v/>
      </c>
      <c r="N226" s="38" t="n"/>
    </row>
    <row r="227">
      <c r="A227" s="32" t="n"/>
      <c r="B227" s="32" t="n"/>
      <c r="C227" s="32" t="n"/>
      <c r="D227" s="32" t="n"/>
      <c r="E227" s="32" t="n"/>
      <c r="F227" s="32" t="n"/>
      <c r="G227" s="32" t="n"/>
      <c r="H227" s="48">
        <f>IFERROR(VLOOKUP(A227,F_Tabelle,10,FALSE),"")</f>
        <v/>
      </c>
      <c r="I227" s="49">
        <f>IF(OR(D227="",F227=""),"",IF(F227=0,"",EDATE(D227,F227)))</f>
        <v/>
      </c>
      <c r="J227" s="50">
        <f>IF(I227="","",I227-TODAY())</f>
        <v/>
      </c>
      <c r="K227" s="48">
        <f>IF(OR(E227="",G227=""),"",IF(G227=0,"",E227+G227))</f>
        <v/>
      </c>
      <c r="L227" s="48">
        <f>IF(OR(K227="",H227=""),"",K227-H227)</f>
        <v/>
      </c>
      <c r="M227" s="50">
        <f>IF(AND(J227="",L227=""),"",IF(OR(AND(J227&lt;&gt;"",J227&lt;0),AND(L227&lt;&gt;"",L227&lt;0)),"🔴 Überfällig",IF(OR(AND(J227&lt;&gt;"",J227&lt;=30),AND(L227&lt;&gt;"",L227&lt;=1000)),"🟡 Bald fällig","🟢 OK")))</f>
        <v/>
      </c>
      <c r="N227" s="40" t="n"/>
    </row>
    <row r="228">
      <c r="A228" s="34" t="n"/>
      <c r="B228" s="34" t="n"/>
      <c r="C228" s="34" t="n"/>
      <c r="D228" s="34" t="n"/>
      <c r="E228" s="34" t="n"/>
      <c r="F228" s="34" t="n"/>
      <c r="G228" s="34" t="n"/>
      <c r="H228" s="48">
        <f>IFERROR(VLOOKUP(A228,F_Tabelle,10,FALSE),"")</f>
        <v/>
      </c>
      <c r="I228" s="49">
        <f>IF(OR(D228="",F228=""),"",IF(F228=0,"",EDATE(D228,F228)))</f>
        <v/>
      </c>
      <c r="J228" s="50">
        <f>IF(I228="","",I228-TODAY())</f>
        <v/>
      </c>
      <c r="K228" s="48">
        <f>IF(OR(E228="",G228=""),"",IF(G228=0,"",E228+G228))</f>
        <v/>
      </c>
      <c r="L228" s="48">
        <f>IF(OR(K228="",H228=""),"",K228-H228)</f>
        <v/>
      </c>
      <c r="M228" s="50">
        <f>IF(AND(J228="",L228=""),"",IF(OR(AND(J228&lt;&gt;"",J228&lt;0),AND(L228&lt;&gt;"",L228&lt;0)),"🔴 Überfällig",IF(OR(AND(J228&lt;&gt;"",J228&lt;=30),AND(L228&lt;&gt;"",L228&lt;=1000)),"🟡 Bald fällig","🟢 OK")))</f>
        <v/>
      </c>
      <c r="N228" s="38" t="n"/>
    </row>
    <row r="229">
      <c r="A229" s="32" t="n"/>
      <c r="B229" s="32" t="n"/>
      <c r="C229" s="32" t="n"/>
      <c r="D229" s="32" t="n"/>
      <c r="E229" s="32" t="n"/>
      <c r="F229" s="32" t="n"/>
      <c r="G229" s="32" t="n"/>
      <c r="H229" s="48">
        <f>IFERROR(VLOOKUP(A229,F_Tabelle,10,FALSE),"")</f>
        <v/>
      </c>
      <c r="I229" s="49">
        <f>IF(OR(D229="",F229=""),"",IF(F229=0,"",EDATE(D229,F229)))</f>
        <v/>
      </c>
      <c r="J229" s="50">
        <f>IF(I229="","",I229-TODAY())</f>
        <v/>
      </c>
      <c r="K229" s="48">
        <f>IF(OR(E229="",G229=""),"",IF(G229=0,"",E229+G229))</f>
        <v/>
      </c>
      <c r="L229" s="48">
        <f>IF(OR(K229="",H229=""),"",K229-H229)</f>
        <v/>
      </c>
      <c r="M229" s="50">
        <f>IF(AND(J229="",L229=""),"",IF(OR(AND(J229&lt;&gt;"",J229&lt;0),AND(L229&lt;&gt;"",L229&lt;0)),"🔴 Überfällig",IF(OR(AND(J229&lt;&gt;"",J229&lt;=30),AND(L229&lt;&gt;"",L229&lt;=1000)),"🟡 Bald fällig","🟢 OK")))</f>
        <v/>
      </c>
      <c r="N229" s="40" t="n"/>
    </row>
    <row r="230">
      <c r="A230" s="34" t="n"/>
      <c r="B230" s="34" t="n"/>
      <c r="C230" s="34" t="n"/>
      <c r="D230" s="34" t="n"/>
      <c r="E230" s="34" t="n"/>
      <c r="F230" s="34" t="n"/>
      <c r="G230" s="34" t="n"/>
      <c r="H230" s="48">
        <f>IFERROR(VLOOKUP(A230,F_Tabelle,10,FALSE),"")</f>
        <v/>
      </c>
      <c r="I230" s="49">
        <f>IF(OR(D230="",F230=""),"",IF(F230=0,"",EDATE(D230,F230)))</f>
        <v/>
      </c>
      <c r="J230" s="50">
        <f>IF(I230="","",I230-TODAY())</f>
        <v/>
      </c>
      <c r="K230" s="48">
        <f>IF(OR(E230="",G230=""),"",IF(G230=0,"",E230+G230))</f>
        <v/>
      </c>
      <c r="L230" s="48">
        <f>IF(OR(K230="",H230=""),"",K230-H230)</f>
        <v/>
      </c>
      <c r="M230" s="50">
        <f>IF(AND(J230="",L230=""),"",IF(OR(AND(J230&lt;&gt;"",J230&lt;0),AND(L230&lt;&gt;"",L230&lt;0)),"🔴 Überfällig",IF(OR(AND(J230&lt;&gt;"",J230&lt;=30),AND(L230&lt;&gt;"",L230&lt;=1000)),"🟡 Bald fällig","🟢 OK")))</f>
        <v/>
      </c>
      <c r="N230" s="38" t="n"/>
    </row>
    <row r="231">
      <c r="A231" s="32" t="n"/>
      <c r="B231" s="32" t="n"/>
      <c r="C231" s="32" t="n"/>
      <c r="D231" s="32" t="n"/>
      <c r="E231" s="32" t="n"/>
      <c r="F231" s="32" t="n"/>
      <c r="G231" s="32" t="n"/>
      <c r="H231" s="48">
        <f>IFERROR(VLOOKUP(A231,F_Tabelle,10,FALSE),"")</f>
        <v/>
      </c>
      <c r="I231" s="49">
        <f>IF(OR(D231="",F231=""),"",IF(F231=0,"",EDATE(D231,F231)))</f>
        <v/>
      </c>
      <c r="J231" s="50">
        <f>IF(I231="","",I231-TODAY())</f>
        <v/>
      </c>
      <c r="K231" s="48">
        <f>IF(OR(E231="",G231=""),"",IF(G231=0,"",E231+G231))</f>
        <v/>
      </c>
      <c r="L231" s="48">
        <f>IF(OR(K231="",H231=""),"",K231-H231)</f>
        <v/>
      </c>
      <c r="M231" s="50">
        <f>IF(AND(J231="",L231=""),"",IF(OR(AND(J231&lt;&gt;"",J231&lt;0),AND(L231&lt;&gt;"",L231&lt;0)),"🔴 Überfällig",IF(OR(AND(J231&lt;&gt;"",J231&lt;=30),AND(L231&lt;&gt;"",L231&lt;=1000)),"🟡 Bald fällig","🟢 OK")))</f>
        <v/>
      </c>
      <c r="N231" s="40" t="n"/>
    </row>
    <row r="232">
      <c r="A232" s="34" t="n"/>
      <c r="B232" s="34" t="n"/>
      <c r="C232" s="34" t="n"/>
      <c r="D232" s="34" t="n"/>
      <c r="E232" s="34" t="n"/>
      <c r="F232" s="34" t="n"/>
      <c r="G232" s="34" t="n"/>
      <c r="H232" s="48">
        <f>IFERROR(VLOOKUP(A232,F_Tabelle,10,FALSE),"")</f>
        <v/>
      </c>
      <c r="I232" s="49">
        <f>IF(OR(D232="",F232=""),"",IF(F232=0,"",EDATE(D232,F232)))</f>
        <v/>
      </c>
      <c r="J232" s="50">
        <f>IF(I232="","",I232-TODAY())</f>
        <v/>
      </c>
      <c r="K232" s="48">
        <f>IF(OR(E232="",G232=""),"",IF(G232=0,"",E232+G232))</f>
        <v/>
      </c>
      <c r="L232" s="48">
        <f>IF(OR(K232="",H232=""),"",K232-H232)</f>
        <v/>
      </c>
      <c r="M232" s="50">
        <f>IF(AND(J232="",L232=""),"",IF(OR(AND(J232&lt;&gt;"",J232&lt;0),AND(L232&lt;&gt;"",L232&lt;0)),"🔴 Überfällig",IF(OR(AND(J232&lt;&gt;"",J232&lt;=30),AND(L232&lt;&gt;"",L232&lt;=1000)),"🟡 Bald fällig","🟢 OK")))</f>
        <v/>
      </c>
      <c r="N232" s="38" t="n"/>
    </row>
    <row r="233">
      <c r="A233" s="32" t="n"/>
      <c r="B233" s="32" t="n"/>
      <c r="C233" s="32" t="n"/>
      <c r="D233" s="32" t="n"/>
      <c r="E233" s="32" t="n"/>
      <c r="F233" s="32" t="n"/>
      <c r="G233" s="32" t="n"/>
      <c r="H233" s="48">
        <f>IFERROR(VLOOKUP(A233,F_Tabelle,10,FALSE),"")</f>
        <v/>
      </c>
      <c r="I233" s="49">
        <f>IF(OR(D233="",F233=""),"",IF(F233=0,"",EDATE(D233,F233)))</f>
        <v/>
      </c>
      <c r="J233" s="50">
        <f>IF(I233="","",I233-TODAY())</f>
        <v/>
      </c>
      <c r="K233" s="48">
        <f>IF(OR(E233="",G233=""),"",IF(G233=0,"",E233+G233))</f>
        <v/>
      </c>
      <c r="L233" s="48">
        <f>IF(OR(K233="",H233=""),"",K233-H233)</f>
        <v/>
      </c>
      <c r="M233" s="50">
        <f>IF(AND(J233="",L233=""),"",IF(OR(AND(J233&lt;&gt;"",J233&lt;0),AND(L233&lt;&gt;"",L233&lt;0)),"🔴 Überfällig",IF(OR(AND(J233&lt;&gt;"",J233&lt;=30),AND(L233&lt;&gt;"",L233&lt;=1000)),"🟡 Bald fällig","🟢 OK")))</f>
        <v/>
      </c>
      <c r="N233" s="40" t="n"/>
    </row>
    <row r="234">
      <c r="A234" s="34" t="n"/>
      <c r="B234" s="34" t="n"/>
      <c r="C234" s="34" t="n"/>
      <c r="D234" s="34" t="n"/>
      <c r="E234" s="34" t="n"/>
      <c r="F234" s="34" t="n"/>
      <c r="G234" s="34" t="n"/>
      <c r="H234" s="48">
        <f>IFERROR(VLOOKUP(A234,F_Tabelle,10,FALSE),"")</f>
        <v/>
      </c>
      <c r="I234" s="49">
        <f>IF(OR(D234="",F234=""),"",IF(F234=0,"",EDATE(D234,F234)))</f>
        <v/>
      </c>
      <c r="J234" s="50">
        <f>IF(I234="","",I234-TODAY())</f>
        <v/>
      </c>
      <c r="K234" s="48">
        <f>IF(OR(E234="",G234=""),"",IF(G234=0,"",E234+G234))</f>
        <v/>
      </c>
      <c r="L234" s="48">
        <f>IF(OR(K234="",H234=""),"",K234-H234)</f>
        <v/>
      </c>
      <c r="M234" s="50">
        <f>IF(AND(J234="",L234=""),"",IF(OR(AND(J234&lt;&gt;"",J234&lt;0),AND(L234&lt;&gt;"",L234&lt;0)),"🔴 Überfällig",IF(OR(AND(J234&lt;&gt;"",J234&lt;=30),AND(L234&lt;&gt;"",L234&lt;=1000)),"🟡 Bald fällig","🟢 OK")))</f>
        <v/>
      </c>
      <c r="N234" s="38" t="n"/>
    </row>
    <row r="235">
      <c r="A235" s="32" t="n"/>
      <c r="B235" s="32" t="n"/>
      <c r="C235" s="32" t="n"/>
      <c r="D235" s="32" t="n"/>
      <c r="E235" s="32" t="n"/>
      <c r="F235" s="32" t="n"/>
      <c r="G235" s="32" t="n"/>
      <c r="H235" s="48">
        <f>IFERROR(VLOOKUP(A235,F_Tabelle,10,FALSE),"")</f>
        <v/>
      </c>
      <c r="I235" s="49">
        <f>IF(OR(D235="",F235=""),"",IF(F235=0,"",EDATE(D235,F235)))</f>
        <v/>
      </c>
      <c r="J235" s="50">
        <f>IF(I235="","",I235-TODAY())</f>
        <v/>
      </c>
      <c r="K235" s="48">
        <f>IF(OR(E235="",G235=""),"",IF(G235=0,"",E235+G235))</f>
        <v/>
      </c>
      <c r="L235" s="48">
        <f>IF(OR(K235="",H235=""),"",K235-H235)</f>
        <v/>
      </c>
      <c r="M235" s="50">
        <f>IF(AND(J235="",L235=""),"",IF(OR(AND(J235&lt;&gt;"",J235&lt;0),AND(L235&lt;&gt;"",L235&lt;0)),"🔴 Überfällig",IF(OR(AND(J235&lt;&gt;"",J235&lt;=30),AND(L235&lt;&gt;"",L235&lt;=1000)),"🟡 Bald fällig","🟢 OK")))</f>
        <v/>
      </c>
      <c r="N235" s="40" t="n"/>
    </row>
    <row r="236">
      <c r="A236" s="34" t="n"/>
      <c r="B236" s="34" t="n"/>
      <c r="C236" s="34" t="n"/>
      <c r="D236" s="34" t="n"/>
      <c r="E236" s="34" t="n"/>
      <c r="F236" s="34" t="n"/>
      <c r="G236" s="34" t="n"/>
      <c r="H236" s="48">
        <f>IFERROR(VLOOKUP(A236,F_Tabelle,10,FALSE),"")</f>
        <v/>
      </c>
      <c r="I236" s="49">
        <f>IF(OR(D236="",F236=""),"",IF(F236=0,"",EDATE(D236,F236)))</f>
        <v/>
      </c>
      <c r="J236" s="50">
        <f>IF(I236="","",I236-TODAY())</f>
        <v/>
      </c>
      <c r="K236" s="48">
        <f>IF(OR(E236="",G236=""),"",IF(G236=0,"",E236+G236))</f>
        <v/>
      </c>
      <c r="L236" s="48">
        <f>IF(OR(K236="",H236=""),"",K236-H236)</f>
        <v/>
      </c>
      <c r="M236" s="50">
        <f>IF(AND(J236="",L236=""),"",IF(OR(AND(J236&lt;&gt;"",J236&lt;0),AND(L236&lt;&gt;"",L236&lt;0)),"🔴 Überfällig",IF(OR(AND(J236&lt;&gt;"",J236&lt;=30),AND(L236&lt;&gt;"",L236&lt;=1000)),"🟡 Bald fällig","🟢 OK")))</f>
        <v/>
      </c>
      <c r="N236" s="38" t="n"/>
    </row>
    <row r="237">
      <c r="A237" s="32" t="n"/>
      <c r="B237" s="32" t="n"/>
      <c r="C237" s="32" t="n"/>
      <c r="D237" s="32" t="n"/>
      <c r="E237" s="32" t="n"/>
      <c r="F237" s="32" t="n"/>
      <c r="G237" s="32" t="n"/>
      <c r="H237" s="48">
        <f>IFERROR(VLOOKUP(A237,F_Tabelle,10,FALSE),"")</f>
        <v/>
      </c>
      <c r="I237" s="49">
        <f>IF(OR(D237="",F237=""),"",IF(F237=0,"",EDATE(D237,F237)))</f>
        <v/>
      </c>
      <c r="J237" s="50">
        <f>IF(I237="","",I237-TODAY())</f>
        <v/>
      </c>
      <c r="K237" s="48">
        <f>IF(OR(E237="",G237=""),"",IF(G237=0,"",E237+G237))</f>
        <v/>
      </c>
      <c r="L237" s="48">
        <f>IF(OR(K237="",H237=""),"",K237-H237)</f>
        <v/>
      </c>
      <c r="M237" s="50">
        <f>IF(AND(J237="",L237=""),"",IF(OR(AND(J237&lt;&gt;"",J237&lt;0),AND(L237&lt;&gt;"",L237&lt;0)),"🔴 Überfällig",IF(OR(AND(J237&lt;&gt;"",J237&lt;=30),AND(L237&lt;&gt;"",L237&lt;=1000)),"🟡 Bald fällig","🟢 OK")))</f>
        <v/>
      </c>
      <c r="N237" s="40" t="n"/>
    </row>
    <row r="238">
      <c r="A238" s="34" t="n"/>
      <c r="B238" s="34" t="n"/>
      <c r="C238" s="34" t="n"/>
      <c r="D238" s="34" t="n"/>
      <c r="E238" s="34" t="n"/>
      <c r="F238" s="34" t="n"/>
      <c r="G238" s="34" t="n"/>
      <c r="H238" s="48">
        <f>IFERROR(VLOOKUP(A238,F_Tabelle,10,FALSE),"")</f>
        <v/>
      </c>
      <c r="I238" s="49">
        <f>IF(OR(D238="",F238=""),"",IF(F238=0,"",EDATE(D238,F238)))</f>
        <v/>
      </c>
      <c r="J238" s="50">
        <f>IF(I238="","",I238-TODAY())</f>
        <v/>
      </c>
      <c r="K238" s="48">
        <f>IF(OR(E238="",G238=""),"",IF(G238=0,"",E238+G238))</f>
        <v/>
      </c>
      <c r="L238" s="48">
        <f>IF(OR(K238="",H238=""),"",K238-H238)</f>
        <v/>
      </c>
      <c r="M238" s="50">
        <f>IF(AND(J238="",L238=""),"",IF(OR(AND(J238&lt;&gt;"",J238&lt;0),AND(L238&lt;&gt;"",L238&lt;0)),"🔴 Überfällig",IF(OR(AND(J238&lt;&gt;"",J238&lt;=30),AND(L238&lt;&gt;"",L238&lt;=1000)),"🟡 Bald fällig","🟢 OK")))</f>
        <v/>
      </c>
      <c r="N238" s="38" t="n"/>
    </row>
    <row r="239">
      <c r="A239" s="32" t="n"/>
      <c r="B239" s="32" t="n"/>
      <c r="C239" s="32" t="n"/>
      <c r="D239" s="32" t="n"/>
      <c r="E239" s="32" t="n"/>
      <c r="F239" s="32" t="n"/>
      <c r="G239" s="32" t="n"/>
      <c r="H239" s="48">
        <f>IFERROR(VLOOKUP(A239,F_Tabelle,10,FALSE),"")</f>
        <v/>
      </c>
      <c r="I239" s="49">
        <f>IF(OR(D239="",F239=""),"",IF(F239=0,"",EDATE(D239,F239)))</f>
        <v/>
      </c>
      <c r="J239" s="50">
        <f>IF(I239="","",I239-TODAY())</f>
        <v/>
      </c>
      <c r="K239" s="48">
        <f>IF(OR(E239="",G239=""),"",IF(G239=0,"",E239+G239))</f>
        <v/>
      </c>
      <c r="L239" s="48">
        <f>IF(OR(K239="",H239=""),"",K239-H239)</f>
        <v/>
      </c>
      <c r="M239" s="50">
        <f>IF(AND(J239="",L239=""),"",IF(OR(AND(J239&lt;&gt;"",J239&lt;0),AND(L239&lt;&gt;"",L239&lt;0)),"🔴 Überfällig",IF(OR(AND(J239&lt;&gt;"",J239&lt;=30),AND(L239&lt;&gt;"",L239&lt;=1000)),"🟡 Bald fällig","🟢 OK")))</f>
        <v/>
      </c>
      <c r="N239" s="40" t="n"/>
    </row>
    <row r="240">
      <c r="A240" s="34" t="n"/>
      <c r="B240" s="34" t="n"/>
      <c r="C240" s="34" t="n"/>
      <c r="D240" s="34" t="n"/>
      <c r="E240" s="34" t="n"/>
      <c r="F240" s="34" t="n"/>
      <c r="G240" s="34" t="n"/>
      <c r="H240" s="48">
        <f>IFERROR(VLOOKUP(A240,F_Tabelle,10,FALSE),"")</f>
        <v/>
      </c>
      <c r="I240" s="49">
        <f>IF(OR(D240="",F240=""),"",IF(F240=0,"",EDATE(D240,F240)))</f>
        <v/>
      </c>
      <c r="J240" s="50">
        <f>IF(I240="","",I240-TODAY())</f>
        <v/>
      </c>
      <c r="K240" s="48">
        <f>IF(OR(E240="",G240=""),"",IF(G240=0,"",E240+G240))</f>
        <v/>
      </c>
      <c r="L240" s="48">
        <f>IF(OR(K240="",H240=""),"",K240-H240)</f>
        <v/>
      </c>
      <c r="M240" s="50">
        <f>IF(AND(J240="",L240=""),"",IF(OR(AND(J240&lt;&gt;"",J240&lt;0),AND(L240&lt;&gt;"",L240&lt;0)),"🔴 Überfällig",IF(OR(AND(J240&lt;&gt;"",J240&lt;=30),AND(L240&lt;&gt;"",L240&lt;=1000)),"🟡 Bald fällig","🟢 OK")))</f>
        <v/>
      </c>
      <c r="N240" s="38" t="n"/>
    </row>
    <row r="241">
      <c r="A241" s="32" t="n"/>
      <c r="B241" s="32" t="n"/>
      <c r="C241" s="32" t="n"/>
      <c r="D241" s="32" t="n"/>
      <c r="E241" s="32" t="n"/>
      <c r="F241" s="32" t="n"/>
      <c r="G241" s="32" t="n"/>
      <c r="H241" s="48">
        <f>IFERROR(VLOOKUP(A241,F_Tabelle,10,FALSE),"")</f>
        <v/>
      </c>
      <c r="I241" s="49">
        <f>IF(OR(D241="",F241=""),"",IF(F241=0,"",EDATE(D241,F241)))</f>
        <v/>
      </c>
      <c r="J241" s="50">
        <f>IF(I241="","",I241-TODAY())</f>
        <v/>
      </c>
      <c r="K241" s="48">
        <f>IF(OR(E241="",G241=""),"",IF(G241=0,"",E241+G241))</f>
        <v/>
      </c>
      <c r="L241" s="48">
        <f>IF(OR(K241="",H241=""),"",K241-H241)</f>
        <v/>
      </c>
      <c r="M241" s="50">
        <f>IF(AND(J241="",L241=""),"",IF(OR(AND(J241&lt;&gt;"",J241&lt;0),AND(L241&lt;&gt;"",L241&lt;0)),"🔴 Überfällig",IF(OR(AND(J241&lt;&gt;"",J241&lt;=30),AND(L241&lt;&gt;"",L241&lt;=1000)),"🟡 Bald fällig","🟢 OK")))</f>
        <v/>
      </c>
      <c r="N241" s="40" t="n"/>
    </row>
    <row r="242">
      <c r="A242" s="34" t="n"/>
      <c r="B242" s="34" t="n"/>
      <c r="C242" s="34" t="n"/>
      <c r="D242" s="34" t="n"/>
      <c r="E242" s="34" t="n"/>
      <c r="F242" s="34" t="n"/>
      <c r="G242" s="34" t="n"/>
      <c r="H242" s="48">
        <f>IFERROR(VLOOKUP(A242,F_Tabelle,10,FALSE),"")</f>
        <v/>
      </c>
      <c r="I242" s="49">
        <f>IF(OR(D242="",F242=""),"",IF(F242=0,"",EDATE(D242,F242)))</f>
        <v/>
      </c>
      <c r="J242" s="50">
        <f>IF(I242="","",I242-TODAY())</f>
        <v/>
      </c>
      <c r="K242" s="48">
        <f>IF(OR(E242="",G242=""),"",IF(G242=0,"",E242+G242))</f>
        <v/>
      </c>
      <c r="L242" s="48">
        <f>IF(OR(K242="",H242=""),"",K242-H242)</f>
        <v/>
      </c>
      <c r="M242" s="50">
        <f>IF(AND(J242="",L242=""),"",IF(OR(AND(J242&lt;&gt;"",J242&lt;0),AND(L242&lt;&gt;"",L242&lt;0)),"🔴 Überfällig",IF(OR(AND(J242&lt;&gt;"",J242&lt;=30),AND(L242&lt;&gt;"",L242&lt;=1000)),"🟡 Bald fällig","🟢 OK")))</f>
        <v/>
      </c>
      <c r="N242" s="38" t="n"/>
    </row>
    <row r="243">
      <c r="A243" s="32" t="n"/>
      <c r="B243" s="32" t="n"/>
      <c r="C243" s="32" t="n"/>
      <c r="D243" s="32" t="n"/>
      <c r="E243" s="32" t="n"/>
      <c r="F243" s="32" t="n"/>
      <c r="G243" s="32" t="n"/>
      <c r="H243" s="48">
        <f>IFERROR(VLOOKUP(A243,F_Tabelle,10,FALSE),"")</f>
        <v/>
      </c>
      <c r="I243" s="49">
        <f>IF(OR(D243="",F243=""),"",IF(F243=0,"",EDATE(D243,F243)))</f>
        <v/>
      </c>
      <c r="J243" s="50">
        <f>IF(I243="","",I243-TODAY())</f>
        <v/>
      </c>
      <c r="K243" s="48">
        <f>IF(OR(E243="",G243=""),"",IF(G243=0,"",E243+G243))</f>
        <v/>
      </c>
      <c r="L243" s="48">
        <f>IF(OR(K243="",H243=""),"",K243-H243)</f>
        <v/>
      </c>
      <c r="M243" s="50">
        <f>IF(AND(J243="",L243=""),"",IF(OR(AND(J243&lt;&gt;"",J243&lt;0),AND(L243&lt;&gt;"",L243&lt;0)),"🔴 Überfällig",IF(OR(AND(J243&lt;&gt;"",J243&lt;=30),AND(L243&lt;&gt;"",L243&lt;=1000)),"🟡 Bald fällig","🟢 OK")))</f>
        <v/>
      </c>
      <c r="N243" s="40" t="n"/>
    </row>
    <row r="244">
      <c r="A244" s="34" t="n"/>
      <c r="B244" s="34" t="n"/>
      <c r="C244" s="34" t="n"/>
      <c r="D244" s="34" t="n"/>
      <c r="E244" s="34" t="n"/>
      <c r="F244" s="34" t="n"/>
      <c r="G244" s="34" t="n"/>
      <c r="H244" s="48">
        <f>IFERROR(VLOOKUP(A244,F_Tabelle,10,FALSE),"")</f>
        <v/>
      </c>
      <c r="I244" s="49">
        <f>IF(OR(D244="",F244=""),"",IF(F244=0,"",EDATE(D244,F244)))</f>
        <v/>
      </c>
      <c r="J244" s="50">
        <f>IF(I244="","",I244-TODAY())</f>
        <v/>
      </c>
      <c r="K244" s="48">
        <f>IF(OR(E244="",G244=""),"",IF(G244=0,"",E244+G244))</f>
        <v/>
      </c>
      <c r="L244" s="48">
        <f>IF(OR(K244="",H244=""),"",K244-H244)</f>
        <v/>
      </c>
      <c r="M244" s="50">
        <f>IF(AND(J244="",L244=""),"",IF(OR(AND(J244&lt;&gt;"",J244&lt;0),AND(L244&lt;&gt;"",L244&lt;0)),"🔴 Überfällig",IF(OR(AND(J244&lt;&gt;"",J244&lt;=30),AND(L244&lt;&gt;"",L244&lt;=1000)),"🟡 Bald fällig","🟢 OK")))</f>
        <v/>
      </c>
      <c r="N244" s="38" t="n"/>
    </row>
    <row r="245">
      <c r="A245" s="32" t="n"/>
      <c r="B245" s="32" t="n"/>
      <c r="C245" s="32" t="n"/>
      <c r="D245" s="32" t="n"/>
      <c r="E245" s="32" t="n"/>
      <c r="F245" s="32" t="n"/>
      <c r="G245" s="32" t="n"/>
      <c r="H245" s="48">
        <f>IFERROR(VLOOKUP(A245,F_Tabelle,10,FALSE),"")</f>
        <v/>
      </c>
      <c r="I245" s="49">
        <f>IF(OR(D245="",F245=""),"",IF(F245=0,"",EDATE(D245,F245)))</f>
        <v/>
      </c>
      <c r="J245" s="50">
        <f>IF(I245="","",I245-TODAY())</f>
        <v/>
      </c>
      <c r="K245" s="48">
        <f>IF(OR(E245="",G245=""),"",IF(G245=0,"",E245+G245))</f>
        <v/>
      </c>
      <c r="L245" s="48">
        <f>IF(OR(K245="",H245=""),"",K245-H245)</f>
        <v/>
      </c>
      <c r="M245" s="50">
        <f>IF(AND(J245="",L245=""),"",IF(OR(AND(J245&lt;&gt;"",J245&lt;0),AND(L245&lt;&gt;"",L245&lt;0)),"🔴 Überfällig",IF(OR(AND(J245&lt;&gt;"",J245&lt;=30),AND(L245&lt;&gt;"",L245&lt;=1000)),"🟡 Bald fällig","🟢 OK")))</f>
        <v/>
      </c>
      <c r="N245" s="40" t="n"/>
    </row>
    <row r="246">
      <c r="A246" s="34" t="n"/>
      <c r="B246" s="34" t="n"/>
      <c r="C246" s="34" t="n"/>
      <c r="D246" s="34" t="n"/>
      <c r="E246" s="34" t="n"/>
      <c r="F246" s="34" t="n"/>
      <c r="G246" s="34" t="n"/>
      <c r="H246" s="48">
        <f>IFERROR(VLOOKUP(A246,F_Tabelle,10,FALSE),"")</f>
        <v/>
      </c>
      <c r="I246" s="49">
        <f>IF(OR(D246="",F246=""),"",IF(F246=0,"",EDATE(D246,F246)))</f>
        <v/>
      </c>
      <c r="J246" s="50">
        <f>IF(I246="","",I246-TODAY())</f>
        <v/>
      </c>
      <c r="K246" s="48">
        <f>IF(OR(E246="",G246=""),"",IF(G246=0,"",E246+G246))</f>
        <v/>
      </c>
      <c r="L246" s="48">
        <f>IF(OR(K246="",H246=""),"",K246-H246)</f>
        <v/>
      </c>
      <c r="M246" s="50">
        <f>IF(AND(J246="",L246=""),"",IF(OR(AND(J246&lt;&gt;"",J246&lt;0),AND(L246&lt;&gt;"",L246&lt;0)),"🔴 Überfällig",IF(OR(AND(J246&lt;&gt;"",J246&lt;=30),AND(L246&lt;&gt;"",L246&lt;=1000)),"🟡 Bald fällig","🟢 OK")))</f>
        <v/>
      </c>
      <c r="N246" s="38" t="n"/>
    </row>
    <row r="247">
      <c r="A247" s="32" t="n"/>
      <c r="B247" s="32" t="n"/>
      <c r="C247" s="32" t="n"/>
      <c r="D247" s="32" t="n"/>
      <c r="E247" s="32" t="n"/>
      <c r="F247" s="32" t="n"/>
      <c r="G247" s="32" t="n"/>
      <c r="H247" s="48">
        <f>IFERROR(VLOOKUP(A247,F_Tabelle,10,FALSE),"")</f>
        <v/>
      </c>
      <c r="I247" s="49">
        <f>IF(OR(D247="",F247=""),"",IF(F247=0,"",EDATE(D247,F247)))</f>
        <v/>
      </c>
      <c r="J247" s="50">
        <f>IF(I247="","",I247-TODAY())</f>
        <v/>
      </c>
      <c r="K247" s="48">
        <f>IF(OR(E247="",G247=""),"",IF(G247=0,"",E247+G247))</f>
        <v/>
      </c>
      <c r="L247" s="48">
        <f>IF(OR(K247="",H247=""),"",K247-H247)</f>
        <v/>
      </c>
      <c r="M247" s="50">
        <f>IF(AND(J247="",L247=""),"",IF(OR(AND(J247&lt;&gt;"",J247&lt;0),AND(L247&lt;&gt;"",L247&lt;0)),"🔴 Überfällig",IF(OR(AND(J247&lt;&gt;"",J247&lt;=30),AND(L247&lt;&gt;"",L247&lt;=1000)),"🟡 Bald fällig","🟢 OK")))</f>
        <v/>
      </c>
      <c r="N247" s="40" t="n"/>
    </row>
    <row r="248">
      <c r="A248" s="34" t="n"/>
      <c r="B248" s="34" t="n"/>
      <c r="C248" s="34" t="n"/>
      <c r="D248" s="34" t="n"/>
      <c r="E248" s="34" t="n"/>
      <c r="F248" s="34" t="n"/>
      <c r="G248" s="34" t="n"/>
      <c r="H248" s="48">
        <f>IFERROR(VLOOKUP(A248,F_Tabelle,10,FALSE),"")</f>
        <v/>
      </c>
      <c r="I248" s="49">
        <f>IF(OR(D248="",F248=""),"",IF(F248=0,"",EDATE(D248,F248)))</f>
        <v/>
      </c>
      <c r="J248" s="50">
        <f>IF(I248="","",I248-TODAY())</f>
        <v/>
      </c>
      <c r="K248" s="48">
        <f>IF(OR(E248="",G248=""),"",IF(G248=0,"",E248+G248))</f>
        <v/>
      </c>
      <c r="L248" s="48">
        <f>IF(OR(K248="",H248=""),"",K248-H248)</f>
        <v/>
      </c>
      <c r="M248" s="50">
        <f>IF(AND(J248="",L248=""),"",IF(OR(AND(J248&lt;&gt;"",J248&lt;0),AND(L248&lt;&gt;"",L248&lt;0)),"🔴 Überfällig",IF(OR(AND(J248&lt;&gt;"",J248&lt;=30),AND(L248&lt;&gt;"",L248&lt;=1000)),"🟡 Bald fällig","🟢 OK")))</f>
        <v/>
      </c>
      <c r="N248" s="38" t="n"/>
    </row>
    <row r="249">
      <c r="A249" s="32" t="n"/>
      <c r="B249" s="32" t="n"/>
      <c r="C249" s="32" t="n"/>
      <c r="D249" s="32" t="n"/>
      <c r="E249" s="32" t="n"/>
      <c r="F249" s="32" t="n"/>
      <c r="G249" s="32" t="n"/>
      <c r="H249" s="48">
        <f>IFERROR(VLOOKUP(A249,F_Tabelle,10,FALSE),"")</f>
        <v/>
      </c>
      <c r="I249" s="49">
        <f>IF(OR(D249="",F249=""),"",IF(F249=0,"",EDATE(D249,F249)))</f>
        <v/>
      </c>
      <c r="J249" s="50">
        <f>IF(I249="","",I249-TODAY())</f>
        <v/>
      </c>
      <c r="K249" s="48">
        <f>IF(OR(E249="",G249=""),"",IF(G249=0,"",E249+G249))</f>
        <v/>
      </c>
      <c r="L249" s="48">
        <f>IF(OR(K249="",H249=""),"",K249-H249)</f>
        <v/>
      </c>
      <c r="M249" s="50">
        <f>IF(AND(J249="",L249=""),"",IF(OR(AND(J249&lt;&gt;"",J249&lt;0),AND(L249&lt;&gt;"",L249&lt;0)),"🔴 Überfällig",IF(OR(AND(J249&lt;&gt;"",J249&lt;=30),AND(L249&lt;&gt;"",L249&lt;=1000)),"🟡 Bald fällig","🟢 OK")))</f>
        <v/>
      </c>
      <c r="N249" s="40" t="n"/>
    </row>
    <row r="250">
      <c r="A250" s="34" t="n"/>
      <c r="B250" s="34" t="n"/>
      <c r="C250" s="34" t="n"/>
      <c r="D250" s="34" t="n"/>
      <c r="E250" s="34" t="n"/>
      <c r="F250" s="34" t="n"/>
      <c r="G250" s="34" t="n"/>
      <c r="H250" s="48">
        <f>IFERROR(VLOOKUP(A250,F_Tabelle,10,FALSE),"")</f>
        <v/>
      </c>
      <c r="I250" s="49">
        <f>IF(OR(D250="",F250=""),"",IF(F250=0,"",EDATE(D250,F250)))</f>
        <v/>
      </c>
      <c r="J250" s="50">
        <f>IF(I250="","",I250-TODAY())</f>
        <v/>
      </c>
      <c r="K250" s="48">
        <f>IF(OR(E250="",G250=""),"",IF(G250=0,"",E250+G250))</f>
        <v/>
      </c>
      <c r="L250" s="48">
        <f>IF(OR(K250="",H250=""),"",K250-H250)</f>
        <v/>
      </c>
      <c r="M250" s="50">
        <f>IF(AND(J250="",L250=""),"",IF(OR(AND(J250&lt;&gt;"",J250&lt;0),AND(L250&lt;&gt;"",L250&lt;0)),"🔴 Überfällig",IF(OR(AND(J250&lt;&gt;"",J250&lt;=30),AND(L250&lt;&gt;"",L250&lt;=1000)),"🟡 Bald fällig","🟢 OK")))</f>
        <v/>
      </c>
      <c r="N250" s="38" t="n"/>
    </row>
    <row r="251">
      <c r="A251" s="32" t="n"/>
      <c r="B251" s="32" t="n"/>
      <c r="C251" s="32" t="n"/>
      <c r="D251" s="32" t="n"/>
      <c r="E251" s="32" t="n"/>
      <c r="F251" s="32" t="n"/>
      <c r="G251" s="32" t="n"/>
      <c r="H251" s="48">
        <f>IFERROR(VLOOKUP(A251,F_Tabelle,10,FALSE),"")</f>
        <v/>
      </c>
      <c r="I251" s="49">
        <f>IF(OR(D251="",F251=""),"",IF(F251=0,"",EDATE(D251,F251)))</f>
        <v/>
      </c>
      <c r="J251" s="50">
        <f>IF(I251="","",I251-TODAY())</f>
        <v/>
      </c>
      <c r="K251" s="48">
        <f>IF(OR(E251="",G251=""),"",IF(G251=0,"",E251+G251))</f>
        <v/>
      </c>
      <c r="L251" s="48">
        <f>IF(OR(K251="",H251=""),"",K251-H251)</f>
        <v/>
      </c>
      <c r="M251" s="50">
        <f>IF(AND(J251="",L251=""),"",IF(OR(AND(J251&lt;&gt;"",J251&lt;0),AND(L251&lt;&gt;"",L251&lt;0)),"🔴 Überfällig",IF(OR(AND(J251&lt;&gt;"",J251&lt;=30),AND(L251&lt;&gt;"",L251&lt;=1000)),"🟡 Bald fällig","🟢 OK")))</f>
        <v/>
      </c>
      <c r="N251" s="40" t="n"/>
    </row>
    <row r="252">
      <c r="A252" s="34" t="n"/>
      <c r="B252" s="34" t="n"/>
      <c r="C252" s="34" t="n"/>
      <c r="D252" s="34" t="n"/>
      <c r="E252" s="34" t="n"/>
      <c r="F252" s="34" t="n"/>
      <c r="G252" s="34" t="n"/>
      <c r="H252" s="48">
        <f>IFERROR(VLOOKUP(A252,F_Tabelle,10,FALSE),"")</f>
        <v/>
      </c>
      <c r="I252" s="49">
        <f>IF(OR(D252="",F252=""),"",IF(F252=0,"",EDATE(D252,F252)))</f>
        <v/>
      </c>
      <c r="J252" s="50">
        <f>IF(I252="","",I252-TODAY())</f>
        <v/>
      </c>
      <c r="K252" s="48">
        <f>IF(OR(E252="",G252=""),"",IF(G252=0,"",E252+G252))</f>
        <v/>
      </c>
      <c r="L252" s="48">
        <f>IF(OR(K252="",H252=""),"",K252-H252)</f>
        <v/>
      </c>
      <c r="M252" s="50">
        <f>IF(AND(J252="",L252=""),"",IF(OR(AND(J252&lt;&gt;"",J252&lt;0),AND(L252&lt;&gt;"",L252&lt;0)),"🔴 Überfällig",IF(OR(AND(J252&lt;&gt;"",J252&lt;=30),AND(L252&lt;&gt;"",L252&lt;=1000)),"🟡 Bald fällig","🟢 OK")))</f>
        <v/>
      </c>
      <c r="N252" s="38" t="n"/>
    </row>
    <row r="253">
      <c r="A253" s="32" t="n"/>
      <c r="B253" s="32" t="n"/>
      <c r="C253" s="32" t="n"/>
      <c r="D253" s="32" t="n"/>
      <c r="E253" s="32" t="n"/>
      <c r="F253" s="32" t="n"/>
      <c r="G253" s="32" t="n"/>
      <c r="H253" s="48">
        <f>IFERROR(VLOOKUP(A253,F_Tabelle,10,FALSE),"")</f>
        <v/>
      </c>
      <c r="I253" s="49">
        <f>IF(OR(D253="",F253=""),"",IF(F253=0,"",EDATE(D253,F253)))</f>
        <v/>
      </c>
      <c r="J253" s="50">
        <f>IF(I253="","",I253-TODAY())</f>
        <v/>
      </c>
      <c r="K253" s="48">
        <f>IF(OR(E253="",G253=""),"",IF(G253=0,"",E253+G253))</f>
        <v/>
      </c>
      <c r="L253" s="48">
        <f>IF(OR(K253="",H253=""),"",K253-H253)</f>
        <v/>
      </c>
      <c r="M253" s="50">
        <f>IF(AND(J253="",L253=""),"",IF(OR(AND(J253&lt;&gt;"",J253&lt;0),AND(L253&lt;&gt;"",L253&lt;0)),"🔴 Überfällig",IF(OR(AND(J253&lt;&gt;"",J253&lt;=30),AND(L253&lt;&gt;"",L253&lt;=1000)),"🟡 Bald fällig","🟢 OK")))</f>
        <v/>
      </c>
      <c r="N253" s="40" t="n"/>
    </row>
    <row r="254">
      <c r="A254" s="34" t="n"/>
      <c r="B254" s="34" t="n"/>
      <c r="C254" s="34" t="n"/>
      <c r="D254" s="34" t="n"/>
      <c r="E254" s="34" t="n"/>
      <c r="F254" s="34" t="n"/>
      <c r="G254" s="34" t="n"/>
      <c r="H254" s="48">
        <f>IFERROR(VLOOKUP(A254,F_Tabelle,10,FALSE),"")</f>
        <v/>
      </c>
      <c r="I254" s="49">
        <f>IF(OR(D254="",F254=""),"",IF(F254=0,"",EDATE(D254,F254)))</f>
        <v/>
      </c>
      <c r="J254" s="50">
        <f>IF(I254="","",I254-TODAY())</f>
        <v/>
      </c>
      <c r="K254" s="48">
        <f>IF(OR(E254="",G254=""),"",IF(G254=0,"",E254+G254))</f>
        <v/>
      </c>
      <c r="L254" s="48">
        <f>IF(OR(K254="",H254=""),"",K254-H254)</f>
        <v/>
      </c>
      <c r="M254" s="50">
        <f>IF(AND(J254="",L254=""),"",IF(OR(AND(J254&lt;&gt;"",J254&lt;0),AND(L254&lt;&gt;"",L254&lt;0)),"🔴 Überfällig",IF(OR(AND(J254&lt;&gt;"",J254&lt;=30),AND(L254&lt;&gt;"",L254&lt;=1000)),"🟡 Bald fällig","🟢 OK")))</f>
        <v/>
      </c>
      <c r="N254" s="38" t="n"/>
    </row>
    <row r="255">
      <c r="A255" s="32" t="n"/>
      <c r="B255" s="32" t="n"/>
      <c r="C255" s="32" t="n"/>
      <c r="D255" s="32" t="n"/>
      <c r="E255" s="32" t="n"/>
      <c r="F255" s="32" t="n"/>
      <c r="G255" s="32" t="n"/>
      <c r="H255" s="48">
        <f>IFERROR(VLOOKUP(A255,F_Tabelle,10,FALSE),"")</f>
        <v/>
      </c>
      <c r="I255" s="49">
        <f>IF(OR(D255="",F255=""),"",IF(F255=0,"",EDATE(D255,F255)))</f>
        <v/>
      </c>
      <c r="J255" s="50">
        <f>IF(I255="","",I255-TODAY())</f>
        <v/>
      </c>
      <c r="K255" s="48">
        <f>IF(OR(E255="",G255=""),"",IF(G255=0,"",E255+G255))</f>
        <v/>
      </c>
      <c r="L255" s="48">
        <f>IF(OR(K255="",H255=""),"",K255-H255)</f>
        <v/>
      </c>
      <c r="M255" s="50">
        <f>IF(AND(J255="",L255=""),"",IF(OR(AND(J255&lt;&gt;"",J255&lt;0),AND(L255&lt;&gt;"",L255&lt;0)),"🔴 Überfällig",IF(OR(AND(J255&lt;&gt;"",J255&lt;=30),AND(L255&lt;&gt;"",L255&lt;=1000)),"🟡 Bald fällig","🟢 OK")))</f>
        <v/>
      </c>
      <c r="N255" s="40" t="n"/>
    </row>
    <row r="256">
      <c r="A256" s="34" t="n"/>
      <c r="B256" s="34" t="n"/>
      <c r="C256" s="34" t="n"/>
      <c r="D256" s="34" t="n"/>
      <c r="E256" s="34" t="n"/>
      <c r="F256" s="34" t="n"/>
      <c r="G256" s="34" t="n"/>
      <c r="H256" s="48">
        <f>IFERROR(VLOOKUP(A256,F_Tabelle,10,FALSE),"")</f>
        <v/>
      </c>
      <c r="I256" s="49">
        <f>IF(OR(D256="",F256=""),"",IF(F256=0,"",EDATE(D256,F256)))</f>
        <v/>
      </c>
      <c r="J256" s="50">
        <f>IF(I256="","",I256-TODAY())</f>
        <v/>
      </c>
      <c r="K256" s="48">
        <f>IF(OR(E256="",G256=""),"",IF(G256=0,"",E256+G256))</f>
        <v/>
      </c>
      <c r="L256" s="48">
        <f>IF(OR(K256="",H256=""),"",K256-H256)</f>
        <v/>
      </c>
      <c r="M256" s="50">
        <f>IF(AND(J256="",L256=""),"",IF(OR(AND(J256&lt;&gt;"",J256&lt;0),AND(L256&lt;&gt;"",L256&lt;0)),"🔴 Überfällig",IF(OR(AND(J256&lt;&gt;"",J256&lt;=30),AND(L256&lt;&gt;"",L256&lt;=1000)),"🟡 Bald fällig","🟢 OK")))</f>
        <v/>
      </c>
      <c r="N256" s="38" t="n"/>
    </row>
    <row r="257">
      <c r="A257" s="32" t="n"/>
      <c r="B257" s="32" t="n"/>
      <c r="C257" s="32" t="n"/>
      <c r="D257" s="32" t="n"/>
      <c r="E257" s="32" t="n"/>
      <c r="F257" s="32" t="n"/>
      <c r="G257" s="32" t="n"/>
      <c r="H257" s="48">
        <f>IFERROR(VLOOKUP(A257,F_Tabelle,10,FALSE),"")</f>
        <v/>
      </c>
      <c r="I257" s="49">
        <f>IF(OR(D257="",F257=""),"",IF(F257=0,"",EDATE(D257,F257)))</f>
        <v/>
      </c>
      <c r="J257" s="50">
        <f>IF(I257="","",I257-TODAY())</f>
        <v/>
      </c>
      <c r="K257" s="48">
        <f>IF(OR(E257="",G257=""),"",IF(G257=0,"",E257+G257))</f>
        <v/>
      </c>
      <c r="L257" s="48">
        <f>IF(OR(K257="",H257=""),"",K257-H257)</f>
        <v/>
      </c>
      <c r="M257" s="50">
        <f>IF(AND(J257="",L257=""),"",IF(OR(AND(J257&lt;&gt;"",J257&lt;0),AND(L257&lt;&gt;"",L257&lt;0)),"🔴 Überfällig",IF(OR(AND(J257&lt;&gt;"",J257&lt;=30),AND(L257&lt;&gt;"",L257&lt;=1000)),"🟡 Bald fällig","🟢 OK")))</f>
        <v/>
      </c>
      <c r="N257" s="40" t="n"/>
    </row>
    <row r="258">
      <c r="A258" s="34" t="n"/>
      <c r="B258" s="34" t="n"/>
      <c r="C258" s="34" t="n"/>
      <c r="D258" s="34" t="n"/>
      <c r="E258" s="34" t="n"/>
      <c r="F258" s="34" t="n"/>
      <c r="G258" s="34" t="n"/>
      <c r="H258" s="48">
        <f>IFERROR(VLOOKUP(A258,F_Tabelle,10,FALSE),"")</f>
        <v/>
      </c>
      <c r="I258" s="49">
        <f>IF(OR(D258="",F258=""),"",IF(F258=0,"",EDATE(D258,F258)))</f>
        <v/>
      </c>
      <c r="J258" s="50">
        <f>IF(I258="","",I258-TODAY())</f>
        <v/>
      </c>
      <c r="K258" s="48">
        <f>IF(OR(E258="",G258=""),"",IF(G258=0,"",E258+G258))</f>
        <v/>
      </c>
      <c r="L258" s="48">
        <f>IF(OR(K258="",H258=""),"",K258-H258)</f>
        <v/>
      </c>
      <c r="M258" s="50">
        <f>IF(AND(J258="",L258=""),"",IF(OR(AND(J258&lt;&gt;"",J258&lt;0),AND(L258&lt;&gt;"",L258&lt;0)),"🔴 Überfällig",IF(OR(AND(J258&lt;&gt;"",J258&lt;=30),AND(L258&lt;&gt;"",L258&lt;=1000)),"🟡 Bald fällig","🟢 OK")))</f>
        <v/>
      </c>
      <c r="N258" s="38" t="n"/>
    </row>
    <row r="259">
      <c r="A259" s="32" t="n"/>
      <c r="B259" s="32" t="n"/>
      <c r="C259" s="32" t="n"/>
      <c r="D259" s="32" t="n"/>
      <c r="E259" s="32" t="n"/>
      <c r="F259" s="32" t="n"/>
      <c r="G259" s="32" t="n"/>
      <c r="H259" s="48">
        <f>IFERROR(VLOOKUP(A259,F_Tabelle,10,FALSE),"")</f>
        <v/>
      </c>
      <c r="I259" s="49">
        <f>IF(OR(D259="",F259=""),"",IF(F259=0,"",EDATE(D259,F259)))</f>
        <v/>
      </c>
      <c r="J259" s="50">
        <f>IF(I259="","",I259-TODAY())</f>
        <v/>
      </c>
      <c r="K259" s="48">
        <f>IF(OR(E259="",G259=""),"",IF(G259=0,"",E259+G259))</f>
        <v/>
      </c>
      <c r="L259" s="48">
        <f>IF(OR(K259="",H259=""),"",K259-H259)</f>
        <v/>
      </c>
      <c r="M259" s="50">
        <f>IF(AND(J259="",L259=""),"",IF(OR(AND(J259&lt;&gt;"",J259&lt;0),AND(L259&lt;&gt;"",L259&lt;0)),"🔴 Überfällig",IF(OR(AND(J259&lt;&gt;"",J259&lt;=30),AND(L259&lt;&gt;"",L259&lt;=1000)),"🟡 Bald fällig","🟢 OK")))</f>
        <v/>
      </c>
      <c r="N259" s="40" t="n"/>
    </row>
    <row r="260">
      <c r="A260" s="34" t="n"/>
      <c r="B260" s="34" t="n"/>
      <c r="C260" s="34" t="n"/>
      <c r="D260" s="34" t="n"/>
      <c r="E260" s="34" t="n"/>
      <c r="F260" s="34" t="n"/>
      <c r="G260" s="34" t="n"/>
      <c r="H260" s="48">
        <f>IFERROR(VLOOKUP(A260,F_Tabelle,10,FALSE),"")</f>
        <v/>
      </c>
      <c r="I260" s="49">
        <f>IF(OR(D260="",F260=""),"",IF(F260=0,"",EDATE(D260,F260)))</f>
        <v/>
      </c>
      <c r="J260" s="50">
        <f>IF(I260="","",I260-TODAY())</f>
        <v/>
      </c>
      <c r="K260" s="48">
        <f>IF(OR(E260="",G260=""),"",IF(G260=0,"",E260+G260))</f>
        <v/>
      </c>
      <c r="L260" s="48">
        <f>IF(OR(K260="",H260=""),"",K260-H260)</f>
        <v/>
      </c>
      <c r="M260" s="50">
        <f>IF(AND(J260="",L260=""),"",IF(OR(AND(J260&lt;&gt;"",J260&lt;0),AND(L260&lt;&gt;"",L260&lt;0)),"🔴 Überfällig",IF(OR(AND(J260&lt;&gt;"",J260&lt;=30),AND(L260&lt;&gt;"",L260&lt;=1000)),"🟡 Bald fällig","🟢 OK")))</f>
        <v/>
      </c>
      <c r="N260" s="38" t="n"/>
    </row>
    <row r="261">
      <c r="A261" s="32" t="n"/>
      <c r="B261" s="32" t="n"/>
      <c r="C261" s="32" t="n"/>
      <c r="D261" s="32" t="n"/>
      <c r="E261" s="32" t="n"/>
      <c r="F261" s="32" t="n"/>
      <c r="G261" s="32" t="n"/>
      <c r="H261" s="48">
        <f>IFERROR(VLOOKUP(A261,F_Tabelle,10,FALSE),"")</f>
        <v/>
      </c>
      <c r="I261" s="49">
        <f>IF(OR(D261="",F261=""),"",IF(F261=0,"",EDATE(D261,F261)))</f>
        <v/>
      </c>
      <c r="J261" s="50">
        <f>IF(I261="","",I261-TODAY())</f>
        <v/>
      </c>
      <c r="K261" s="48">
        <f>IF(OR(E261="",G261=""),"",IF(G261=0,"",E261+G261))</f>
        <v/>
      </c>
      <c r="L261" s="48">
        <f>IF(OR(K261="",H261=""),"",K261-H261)</f>
        <v/>
      </c>
      <c r="M261" s="50">
        <f>IF(AND(J261="",L261=""),"",IF(OR(AND(J261&lt;&gt;"",J261&lt;0),AND(L261&lt;&gt;"",L261&lt;0)),"🔴 Überfällig",IF(OR(AND(J261&lt;&gt;"",J261&lt;=30),AND(L261&lt;&gt;"",L261&lt;=1000)),"🟡 Bald fällig","🟢 OK")))</f>
        <v/>
      </c>
      <c r="N261" s="40" t="n"/>
    </row>
    <row r="262">
      <c r="A262" s="34" t="n"/>
      <c r="B262" s="34" t="n"/>
      <c r="C262" s="34" t="n"/>
      <c r="D262" s="34" t="n"/>
      <c r="E262" s="34" t="n"/>
      <c r="F262" s="34" t="n"/>
      <c r="G262" s="34" t="n"/>
      <c r="H262" s="48">
        <f>IFERROR(VLOOKUP(A262,F_Tabelle,10,FALSE),"")</f>
        <v/>
      </c>
      <c r="I262" s="49">
        <f>IF(OR(D262="",F262=""),"",IF(F262=0,"",EDATE(D262,F262)))</f>
        <v/>
      </c>
      <c r="J262" s="50">
        <f>IF(I262="","",I262-TODAY())</f>
        <v/>
      </c>
      <c r="K262" s="48">
        <f>IF(OR(E262="",G262=""),"",IF(G262=0,"",E262+G262))</f>
        <v/>
      </c>
      <c r="L262" s="48">
        <f>IF(OR(K262="",H262=""),"",K262-H262)</f>
        <v/>
      </c>
      <c r="M262" s="50">
        <f>IF(AND(J262="",L262=""),"",IF(OR(AND(J262&lt;&gt;"",J262&lt;0),AND(L262&lt;&gt;"",L262&lt;0)),"🔴 Überfällig",IF(OR(AND(J262&lt;&gt;"",J262&lt;=30),AND(L262&lt;&gt;"",L262&lt;=1000)),"🟡 Bald fällig","🟢 OK")))</f>
        <v/>
      </c>
      <c r="N262" s="38" t="n"/>
    </row>
    <row r="263">
      <c r="A263" s="32" t="n"/>
      <c r="B263" s="32" t="n"/>
      <c r="C263" s="32" t="n"/>
      <c r="D263" s="32" t="n"/>
      <c r="E263" s="32" t="n"/>
      <c r="F263" s="32" t="n"/>
      <c r="G263" s="32" t="n"/>
      <c r="H263" s="48">
        <f>IFERROR(VLOOKUP(A263,F_Tabelle,10,FALSE),"")</f>
        <v/>
      </c>
      <c r="I263" s="49">
        <f>IF(OR(D263="",F263=""),"",IF(F263=0,"",EDATE(D263,F263)))</f>
        <v/>
      </c>
      <c r="J263" s="50">
        <f>IF(I263="","",I263-TODAY())</f>
        <v/>
      </c>
      <c r="K263" s="48">
        <f>IF(OR(E263="",G263=""),"",IF(G263=0,"",E263+G263))</f>
        <v/>
      </c>
      <c r="L263" s="48">
        <f>IF(OR(K263="",H263=""),"",K263-H263)</f>
        <v/>
      </c>
      <c r="M263" s="50">
        <f>IF(AND(J263="",L263=""),"",IF(OR(AND(J263&lt;&gt;"",J263&lt;0),AND(L263&lt;&gt;"",L263&lt;0)),"🔴 Überfällig",IF(OR(AND(J263&lt;&gt;"",J263&lt;=30),AND(L263&lt;&gt;"",L263&lt;=1000)),"🟡 Bald fällig","🟢 OK")))</f>
        <v/>
      </c>
      <c r="N263" s="40" t="n"/>
    </row>
    <row r="264">
      <c r="A264" s="34" t="n"/>
      <c r="B264" s="34" t="n"/>
      <c r="C264" s="34" t="n"/>
      <c r="D264" s="34" t="n"/>
      <c r="E264" s="34" t="n"/>
      <c r="F264" s="34" t="n"/>
      <c r="G264" s="34" t="n"/>
      <c r="H264" s="48">
        <f>IFERROR(VLOOKUP(A264,F_Tabelle,10,FALSE),"")</f>
        <v/>
      </c>
      <c r="I264" s="49">
        <f>IF(OR(D264="",F264=""),"",IF(F264=0,"",EDATE(D264,F264)))</f>
        <v/>
      </c>
      <c r="J264" s="50">
        <f>IF(I264="","",I264-TODAY())</f>
        <v/>
      </c>
      <c r="K264" s="48">
        <f>IF(OR(E264="",G264=""),"",IF(G264=0,"",E264+G264))</f>
        <v/>
      </c>
      <c r="L264" s="48">
        <f>IF(OR(K264="",H264=""),"",K264-H264)</f>
        <v/>
      </c>
      <c r="M264" s="50">
        <f>IF(AND(J264="",L264=""),"",IF(OR(AND(J264&lt;&gt;"",J264&lt;0),AND(L264&lt;&gt;"",L264&lt;0)),"🔴 Überfällig",IF(OR(AND(J264&lt;&gt;"",J264&lt;=30),AND(L264&lt;&gt;"",L264&lt;=1000)),"🟡 Bald fällig","🟢 OK")))</f>
        <v/>
      </c>
      <c r="N264" s="38" t="n"/>
    </row>
    <row r="265">
      <c r="A265" s="32" t="n"/>
      <c r="B265" s="32" t="n"/>
      <c r="C265" s="32" t="n"/>
      <c r="D265" s="32" t="n"/>
      <c r="E265" s="32" t="n"/>
      <c r="F265" s="32" t="n"/>
      <c r="G265" s="32" t="n"/>
      <c r="H265" s="48">
        <f>IFERROR(VLOOKUP(A265,F_Tabelle,10,FALSE),"")</f>
        <v/>
      </c>
      <c r="I265" s="49">
        <f>IF(OR(D265="",F265=""),"",IF(F265=0,"",EDATE(D265,F265)))</f>
        <v/>
      </c>
      <c r="J265" s="50">
        <f>IF(I265="","",I265-TODAY())</f>
        <v/>
      </c>
      <c r="K265" s="48">
        <f>IF(OR(E265="",G265=""),"",IF(G265=0,"",E265+G265))</f>
        <v/>
      </c>
      <c r="L265" s="48">
        <f>IF(OR(K265="",H265=""),"",K265-H265)</f>
        <v/>
      </c>
      <c r="M265" s="50">
        <f>IF(AND(J265="",L265=""),"",IF(OR(AND(J265&lt;&gt;"",J265&lt;0),AND(L265&lt;&gt;"",L265&lt;0)),"🔴 Überfällig",IF(OR(AND(J265&lt;&gt;"",J265&lt;=30),AND(L265&lt;&gt;"",L265&lt;=1000)),"🟡 Bald fällig","🟢 OK")))</f>
        <v/>
      </c>
      <c r="N265" s="40" t="n"/>
    </row>
    <row r="266">
      <c r="A266" s="34" t="n"/>
      <c r="B266" s="34" t="n"/>
      <c r="C266" s="34" t="n"/>
      <c r="D266" s="34" t="n"/>
      <c r="E266" s="34" t="n"/>
      <c r="F266" s="34" t="n"/>
      <c r="G266" s="34" t="n"/>
      <c r="H266" s="48">
        <f>IFERROR(VLOOKUP(A266,F_Tabelle,10,FALSE),"")</f>
        <v/>
      </c>
      <c r="I266" s="49">
        <f>IF(OR(D266="",F266=""),"",IF(F266=0,"",EDATE(D266,F266)))</f>
        <v/>
      </c>
      <c r="J266" s="50">
        <f>IF(I266="","",I266-TODAY())</f>
        <v/>
      </c>
      <c r="K266" s="48">
        <f>IF(OR(E266="",G266=""),"",IF(G266=0,"",E266+G266))</f>
        <v/>
      </c>
      <c r="L266" s="48">
        <f>IF(OR(K266="",H266=""),"",K266-H266)</f>
        <v/>
      </c>
      <c r="M266" s="50">
        <f>IF(AND(J266="",L266=""),"",IF(OR(AND(J266&lt;&gt;"",J266&lt;0),AND(L266&lt;&gt;"",L266&lt;0)),"🔴 Überfällig",IF(OR(AND(J266&lt;&gt;"",J266&lt;=30),AND(L266&lt;&gt;"",L266&lt;=1000)),"🟡 Bald fällig","🟢 OK")))</f>
        <v/>
      </c>
      <c r="N266" s="38" t="n"/>
    </row>
    <row r="267">
      <c r="A267" s="32" t="n"/>
      <c r="B267" s="32" t="n"/>
      <c r="C267" s="32" t="n"/>
      <c r="D267" s="32" t="n"/>
      <c r="E267" s="32" t="n"/>
      <c r="F267" s="32" t="n"/>
      <c r="G267" s="32" t="n"/>
      <c r="H267" s="48">
        <f>IFERROR(VLOOKUP(A267,F_Tabelle,10,FALSE),"")</f>
        <v/>
      </c>
      <c r="I267" s="49">
        <f>IF(OR(D267="",F267=""),"",IF(F267=0,"",EDATE(D267,F267)))</f>
        <v/>
      </c>
      <c r="J267" s="50">
        <f>IF(I267="","",I267-TODAY())</f>
        <v/>
      </c>
      <c r="K267" s="48">
        <f>IF(OR(E267="",G267=""),"",IF(G267=0,"",E267+G267))</f>
        <v/>
      </c>
      <c r="L267" s="48">
        <f>IF(OR(K267="",H267=""),"",K267-H267)</f>
        <v/>
      </c>
      <c r="M267" s="50">
        <f>IF(AND(J267="",L267=""),"",IF(OR(AND(J267&lt;&gt;"",J267&lt;0),AND(L267&lt;&gt;"",L267&lt;0)),"🔴 Überfällig",IF(OR(AND(J267&lt;&gt;"",J267&lt;=30),AND(L267&lt;&gt;"",L267&lt;=1000)),"🟡 Bald fällig","🟢 OK")))</f>
        <v/>
      </c>
      <c r="N267" s="40" t="n"/>
    </row>
    <row r="268">
      <c r="A268" s="34" t="n"/>
      <c r="B268" s="34" t="n"/>
      <c r="C268" s="34" t="n"/>
      <c r="D268" s="34" t="n"/>
      <c r="E268" s="34" t="n"/>
      <c r="F268" s="34" t="n"/>
      <c r="G268" s="34" t="n"/>
      <c r="H268" s="48">
        <f>IFERROR(VLOOKUP(A268,F_Tabelle,10,FALSE),"")</f>
        <v/>
      </c>
      <c r="I268" s="49">
        <f>IF(OR(D268="",F268=""),"",IF(F268=0,"",EDATE(D268,F268)))</f>
        <v/>
      </c>
      <c r="J268" s="50">
        <f>IF(I268="","",I268-TODAY())</f>
        <v/>
      </c>
      <c r="K268" s="48">
        <f>IF(OR(E268="",G268=""),"",IF(G268=0,"",E268+G268))</f>
        <v/>
      </c>
      <c r="L268" s="48">
        <f>IF(OR(K268="",H268=""),"",K268-H268)</f>
        <v/>
      </c>
      <c r="M268" s="50">
        <f>IF(AND(J268="",L268=""),"",IF(OR(AND(J268&lt;&gt;"",J268&lt;0),AND(L268&lt;&gt;"",L268&lt;0)),"🔴 Überfällig",IF(OR(AND(J268&lt;&gt;"",J268&lt;=30),AND(L268&lt;&gt;"",L268&lt;=1000)),"🟡 Bald fällig","🟢 OK")))</f>
        <v/>
      </c>
      <c r="N268" s="38" t="n"/>
    </row>
    <row r="269">
      <c r="A269" s="32" t="n"/>
      <c r="B269" s="32" t="n"/>
      <c r="C269" s="32" t="n"/>
      <c r="D269" s="32" t="n"/>
      <c r="E269" s="32" t="n"/>
      <c r="F269" s="32" t="n"/>
      <c r="G269" s="32" t="n"/>
      <c r="H269" s="48">
        <f>IFERROR(VLOOKUP(A269,F_Tabelle,10,FALSE),"")</f>
        <v/>
      </c>
      <c r="I269" s="49">
        <f>IF(OR(D269="",F269=""),"",IF(F269=0,"",EDATE(D269,F269)))</f>
        <v/>
      </c>
      <c r="J269" s="50">
        <f>IF(I269="","",I269-TODAY())</f>
        <v/>
      </c>
      <c r="K269" s="48">
        <f>IF(OR(E269="",G269=""),"",IF(G269=0,"",E269+G269))</f>
        <v/>
      </c>
      <c r="L269" s="48">
        <f>IF(OR(K269="",H269=""),"",K269-H269)</f>
        <v/>
      </c>
      <c r="M269" s="50">
        <f>IF(AND(J269="",L269=""),"",IF(OR(AND(J269&lt;&gt;"",J269&lt;0),AND(L269&lt;&gt;"",L269&lt;0)),"🔴 Überfällig",IF(OR(AND(J269&lt;&gt;"",J269&lt;=30),AND(L269&lt;&gt;"",L269&lt;=1000)),"🟡 Bald fällig","🟢 OK")))</f>
        <v/>
      </c>
      <c r="N269" s="40" t="n"/>
    </row>
    <row r="270">
      <c r="A270" s="34" t="n"/>
      <c r="B270" s="34" t="n"/>
      <c r="C270" s="34" t="n"/>
      <c r="D270" s="34" t="n"/>
      <c r="E270" s="34" t="n"/>
      <c r="F270" s="34" t="n"/>
      <c r="G270" s="34" t="n"/>
      <c r="H270" s="48">
        <f>IFERROR(VLOOKUP(A270,F_Tabelle,10,FALSE),"")</f>
        <v/>
      </c>
      <c r="I270" s="49">
        <f>IF(OR(D270="",F270=""),"",IF(F270=0,"",EDATE(D270,F270)))</f>
        <v/>
      </c>
      <c r="J270" s="50">
        <f>IF(I270="","",I270-TODAY())</f>
        <v/>
      </c>
      <c r="K270" s="48">
        <f>IF(OR(E270="",G270=""),"",IF(G270=0,"",E270+G270))</f>
        <v/>
      </c>
      <c r="L270" s="48">
        <f>IF(OR(K270="",H270=""),"",K270-H270)</f>
        <v/>
      </c>
      <c r="M270" s="50">
        <f>IF(AND(J270="",L270=""),"",IF(OR(AND(J270&lt;&gt;"",J270&lt;0),AND(L270&lt;&gt;"",L270&lt;0)),"🔴 Überfällig",IF(OR(AND(J270&lt;&gt;"",J270&lt;=30),AND(L270&lt;&gt;"",L270&lt;=1000)),"🟡 Bald fällig","🟢 OK")))</f>
        <v/>
      </c>
      <c r="N270" s="38" t="n"/>
    </row>
    <row r="271">
      <c r="A271" s="32" t="n"/>
      <c r="B271" s="32" t="n"/>
      <c r="C271" s="32" t="n"/>
      <c r="D271" s="32" t="n"/>
      <c r="E271" s="32" t="n"/>
      <c r="F271" s="32" t="n"/>
      <c r="G271" s="32" t="n"/>
      <c r="H271" s="48">
        <f>IFERROR(VLOOKUP(A271,F_Tabelle,10,FALSE),"")</f>
        <v/>
      </c>
      <c r="I271" s="49">
        <f>IF(OR(D271="",F271=""),"",IF(F271=0,"",EDATE(D271,F271)))</f>
        <v/>
      </c>
      <c r="J271" s="50">
        <f>IF(I271="","",I271-TODAY())</f>
        <v/>
      </c>
      <c r="K271" s="48">
        <f>IF(OR(E271="",G271=""),"",IF(G271=0,"",E271+G271))</f>
        <v/>
      </c>
      <c r="L271" s="48">
        <f>IF(OR(K271="",H271=""),"",K271-H271)</f>
        <v/>
      </c>
      <c r="M271" s="50">
        <f>IF(AND(J271="",L271=""),"",IF(OR(AND(J271&lt;&gt;"",J271&lt;0),AND(L271&lt;&gt;"",L271&lt;0)),"🔴 Überfällig",IF(OR(AND(J271&lt;&gt;"",J271&lt;=30),AND(L271&lt;&gt;"",L271&lt;=1000)),"🟡 Bald fällig","🟢 OK")))</f>
        <v/>
      </c>
      <c r="N271" s="40" t="n"/>
    </row>
    <row r="272">
      <c r="A272" s="34" t="n"/>
      <c r="B272" s="34" t="n"/>
      <c r="C272" s="34" t="n"/>
      <c r="D272" s="34" t="n"/>
      <c r="E272" s="34" t="n"/>
      <c r="F272" s="34" t="n"/>
      <c r="G272" s="34" t="n"/>
      <c r="H272" s="48">
        <f>IFERROR(VLOOKUP(A272,F_Tabelle,10,FALSE),"")</f>
        <v/>
      </c>
      <c r="I272" s="49">
        <f>IF(OR(D272="",F272=""),"",IF(F272=0,"",EDATE(D272,F272)))</f>
        <v/>
      </c>
      <c r="J272" s="50">
        <f>IF(I272="","",I272-TODAY())</f>
        <v/>
      </c>
      <c r="K272" s="48">
        <f>IF(OR(E272="",G272=""),"",IF(G272=0,"",E272+G272))</f>
        <v/>
      </c>
      <c r="L272" s="48">
        <f>IF(OR(K272="",H272=""),"",K272-H272)</f>
        <v/>
      </c>
      <c r="M272" s="50">
        <f>IF(AND(J272="",L272=""),"",IF(OR(AND(J272&lt;&gt;"",J272&lt;0),AND(L272&lt;&gt;"",L272&lt;0)),"🔴 Überfällig",IF(OR(AND(J272&lt;&gt;"",J272&lt;=30),AND(L272&lt;&gt;"",L272&lt;=1000)),"🟡 Bald fällig","🟢 OK")))</f>
        <v/>
      </c>
      <c r="N272" s="38" t="n"/>
    </row>
    <row r="273">
      <c r="A273" s="32" t="n"/>
      <c r="B273" s="32" t="n"/>
      <c r="C273" s="32" t="n"/>
      <c r="D273" s="32" t="n"/>
      <c r="E273" s="32" t="n"/>
      <c r="F273" s="32" t="n"/>
      <c r="G273" s="32" t="n"/>
      <c r="H273" s="48">
        <f>IFERROR(VLOOKUP(A273,F_Tabelle,10,FALSE),"")</f>
        <v/>
      </c>
      <c r="I273" s="49">
        <f>IF(OR(D273="",F273=""),"",IF(F273=0,"",EDATE(D273,F273)))</f>
        <v/>
      </c>
      <c r="J273" s="50">
        <f>IF(I273="","",I273-TODAY())</f>
        <v/>
      </c>
      <c r="K273" s="48">
        <f>IF(OR(E273="",G273=""),"",IF(G273=0,"",E273+G273))</f>
        <v/>
      </c>
      <c r="L273" s="48">
        <f>IF(OR(K273="",H273=""),"",K273-H273)</f>
        <v/>
      </c>
      <c r="M273" s="50">
        <f>IF(AND(J273="",L273=""),"",IF(OR(AND(J273&lt;&gt;"",J273&lt;0),AND(L273&lt;&gt;"",L273&lt;0)),"🔴 Überfällig",IF(OR(AND(J273&lt;&gt;"",J273&lt;=30),AND(L273&lt;&gt;"",L273&lt;=1000)),"🟡 Bald fällig","🟢 OK")))</f>
        <v/>
      </c>
      <c r="N273" s="40" t="n"/>
    </row>
    <row r="274">
      <c r="A274" s="34" t="n"/>
      <c r="B274" s="34" t="n"/>
      <c r="C274" s="34" t="n"/>
      <c r="D274" s="34" t="n"/>
      <c r="E274" s="34" t="n"/>
      <c r="F274" s="34" t="n"/>
      <c r="G274" s="34" t="n"/>
      <c r="H274" s="48">
        <f>IFERROR(VLOOKUP(A274,F_Tabelle,10,FALSE),"")</f>
        <v/>
      </c>
      <c r="I274" s="49">
        <f>IF(OR(D274="",F274=""),"",IF(F274=0,"",EDATE(D274,F274)))</f>
        <v/>
      </c>
      <c r="J274" s="50">
        <f>IF(I274="","",I274-TODAY())</f>
        <v/>
      </c>
      <c r="K274" s="48">
        <f>IF(OR(E274="",G274=""),"",IF(G274=0,"",E274+G274))</f>
        <v/>
      </c>
      <c r="L274" s="48">
        <f>IF(OR(K274="",H274=""),"",K274-H274)</f>
        <v/>
      </c>
      <c r="M274" s="50">
        <f>IF(AND(J274="",L274=""),"",IF(OR(AND(J274&lt;&gt;"",J274&lt;0),AND(L274&lt;&gt;"",L274&lt;0)),"🔴 Überfällig",IF(OR(AND(J274&lt;&gt;"",J274&lt;=30),AND(L274&lt;&gt;"",L274&lt;=1000)),"🟡 Bald fällig","🟢 OK")))</f>
        <v/>
      </c>
      <c r="N274" s="38" t="n"/>
    </row>
    <row r="275">
      <c r="A275" s="32" t="n"/>
      <c r="B275" s="32" t="n"/>
      <c r="C275" s="32" t="n"/>
      <c r="D275" s="32" t="n"/>
      <c r="E275" s="32" t="n"/>
      <c r="F275" s="32" t="n"/>
      <c r="G275" s="32" t="n"/>
      <c r="H275" s="48">
        <f>IFERROR(VLOOKUP(A275,F_Tabelle,10,FALSE),"")</f>
        <v/>
      </c>
      <c r="I275" s="49">
        <f>IF(OR(D275="",F275=""),"",IF(F275=0,"",EDATE(D275,F275)))</f>
        <v/>
      </c>
      <c r="J275" s="50">
        <f>IF(I275="","",I275-TODAY())</f>
        <v/>
      </c>
      <c r="K275" s="48">
        <f>IF(OR(E275="",G275=""),"",IF(G275=0,"",E275+G275))</f>
        <v/>
      </c>
      <c r="L275" s="48">
        <f>IF(OR(K275="",H275=""),"",K275-H275)</f>
        <v/>
      </c>
      <c r="M275" s="50">
        <f>IF(AND(J275="",L275=""),"",IF(OR(AND(J275&lt;&gt;"",J275&lt;0),AND(L275&lt;&gt;"",L275&lt;0)),"🔴 Überfällig",IF(OR(AND(J275&lt;&gt;"",J275&lt;=30),AND(L275&lt;&gt;"",L275&lt;=1000)),"🟡 Bald fällig","🟢 OK")))</f>
        <v/>
      </c>
      <c r="N275" s="40" t="n"/>
    </row>
    <row r="276">
      <c r="A276" s="34" t="n"/>
      <c r="B276" s="34" t="n"/>
      <c r="C276" s="34" t="n"/>
      <c r="D276" s="34" t="n"/>
      <c r="E276" s="34" t="n"/>
      <c r="F276" s="34" t="n"/>
      <c r="G276" s="34" t="n"/>
      <c r="H276" s="48">
        <f>IFERROR(VLOOKUP(A276,F_Tabelle,10,FALSE),"")</f>
        <v/>
      </c>
      <c r="I276" s="49">
        <f>IF(OR(D276="",F276=""),"",IF(F276=0,"",EDATE(D276,F276)))</f>
        <v/>
      </c>
      <c r="J276" s="50">
        <f>IF(I276="","",I276-TODAY())</f>
        <v/>
      </c>
      <c r="K276" s="48">
        <f>IF(OR(E276="",G276=""),"",IF(G276=0,"",E276+G276))</f>
        <v/>
      </c>
      <c r="L276" s="48">
        <f>IF(OR(K276="",H276=""),"",K276-H276)</f>
        <v/>
      </c>
      <c r="M276" s="50">
        <f>IF(AND(J276="",L276=""),"",IF(OR(AND(J276&lt;&gt;"",J276&lt;0),AND(L276&lt;&gt;"",L276&lt;0)),"🔴 Überfällig",IF(OR(AND(J276&lt;&gt;"",J276&lt;=30),AND(L276&lt;&gt;"",L276&lt;=1000)),"🟡 Bald fällig","🟢 OK")))</f>
        <v/>
      </c>
      <c r="N276" s="38" t="n"/>
    </row>
    <row r="277">
      <c r="A277" s="32" t="n"/>
      <c r="B277" s="32" t="n"/>
      <c r="C277" s="32" t="n"/>
      <c r="D277" s="32" t="n"/>
      <c r="E277" s="32" t="n"/>
      <c r="F277" s="32" t="n"/>
      <c r="G277" s="32" t="n"/>
      <c r="H277" s="48">
        <f>IFERROR(VLOOKUP(A277,F_Tabelle,10,FALSE),"")</f>
        <v/>
      </c>
      <c r="I277" s="49">
        <f>IF(OR(D277="",F277=""),"",IF(F277=0,"",EDATE(D277,F277)))</f>
        <v/>
      </c>
      <c r="J277" s="50">
        <f>IF(I277="","",I277-TODAY())</f>
        <v/>
      </c>
      <c r="K277" s="48">
        <f>IF(OR(E277="",G277=""),"",IF(G277=0,"",E277+G277))</f>
        <v/>
      </c>
      <c r="L277" s="48">
        <f>IF(OR(K277="",H277=""),"",K277-H277)</f>
        <v/>
      </c>
      <c r="M277" s="50">
        <f>IF(AND(J277="",L277=""),"",IF(OR(AND(J277&lt;&gt;"",J277&lt;0),AND(L277&lt;&gt;"",L277&lt;0)),"🔴 Überfällig",IF(OR(AND(J277&lt;&gt;"",J277&lt;=30),AND(L277&lt;&gt;"",L277&lt;=1000)),"🟡 Bald fällig","🟢 OK")))</f>
        <v/>
      </c>
      <c r="N277" s="40" t="n"/>
    </row>
    <row r="278">
      <c r="A278" s="34" t="n"/>
      <c r="B278" s="34" t="n"/>
      <c r="C278" s="34" t="n"/>
      <c r="D278" s="34" t="n"/>
      <c r="E278" s="34" t="n"/>
      <c r="F278" s="34" t="n"/>
      <c r="G278" s="34" t="n"/>
      <c r="H278" s="48">
        <f>IFERROR(VLOOKUP(A278,F_Tabelle,10,FALSE),"")</f>
        <v/>
      </c>
      <c r="I278" s="49">
        <f>IF(OR(D278="",F278=""),"",IF(F278=0,"",EDATE(D278,F278)))</f>
        <v/>
      </c>
      <c r="J278" s="50">
        <f>IF(I278="","",I278-TODAY())</f>
        <v/>
      </c>
      <c r="K278" s="48">
        <f>IF(OR(E278="",G278=""),"",IF(G278=0,"",E278+G278))</f>
        <v/>
      </c>
      <c r="L278" s="48">
        <f>IF(OR(K278="",H278=""),"",K278-H278)</f>
        <v/>
      </c>
      <c r="M278" s="50">
        <f>IF(AND(J278="",L278=""),"",IF(OR(AND(J278&lt;&gt;"",J278&lt;0),AND(L278&lt;&gt;"",L278&lt;0)),"🔴 Überfällig",IF(OR(AND(J278&lt;&gt;"",J278&lt;=30),AND(L278&lt;&gt;"",L278&lt;=1000)),"🟡 Bald fällig","🟢 OK")))</f>
        <v/>
      </c>
      <c r="N278" s="38" t="n"/>
    </row>
    <row r="279">
      <c r="A279" s="32" t="n"/>
      <c r="B279" s="32" t="n"/>
      <c r="C279" s="32" t="n"/>
      <c r="D279" s="32" t="n"/>
      <c r="E279" s="32" t="n"/>
      <c r="F279" s="32" t="n"/>
      <c r="G279" s="32" t="n"/>
      <c r="H279" s="48">
        <f>IFERROR(VLOOKUP(A279,F_Tabelle,10,FALSE),"")</f>
        <v/>
      </c>
      <c r="I279" s="49">
        <f>IF(OR(D279="",F279=""),"",IF(F279=0,"",EDATE(D279,F279)))</f>
        <v/>
      </c>
      <c r="J279" s="50">
        <f>IF(I279="","",I279-TODAY())</f>
        <v/>
      </c>
      <c r="K279" s="48">
        <f>IF(OR(E279="",G279=""),"",IF(G279=0,"",E279+G279))</f>
        <v/>
      </c>
      <c r="L279" s="48">
        <f>IF(OR(K279="",H279=""),"",K279-H279)</f>
        <v/>
      </c>
      <c r="M279" s="50">
        <f>IF(AND(J279="",L279=""),"",IF(OR(AND(J279&lt;&gt;"",J279&lt;0),AND(L279&lt;&gt;"",L279&lt;0)),"🔴 Überfällig",IF(OR(AND(J279&lt;&gt;"",J279&lt;=30),AND(L279&lt;&gt;"",L279&lt;=1000)),"🟡 Bald fällig","🟢 OK")))</f>
        <v/>
      </c>
      <c r="N279" s="40" t="n"/>
    </row>
    <row r="280">
      <c r="A280" s="34" t="n"/>
      <c r="B280" s="34" t="n"/>
      <c r="C280" s="34" t="n"/>
      <c r="D280" s="34" t="n"/>
      <c r="E280" s="34" t="n"/>
      <c r="F280" s="34" t="n"/>
      <c r="G280" s="34" t="n"/>
      <c r="H280" s="48">
        <f>IFERROR(VLOOKUP(A280,F_Tabelle,10,FALSE),"")</f>
        <v/>
      </c>
      <c r="I280" s="49">
        <f>IF(OR(D280="",F280=""),"",IF(F280=0,"",EDATE(D280,F280)))</f>
        <v/>
      </c>
      <c r="J280" s="50">
        <f>IF(I280="","",I280-TODAY())</f>
        <v/>
      </c>
      <c r="K280" s="48">
        <f>IF(OR(E280="",G280=""),"",IF(G280=0,"",E280+G280))</f>
        <v/>
      </c>
      <c r="L280" s="48">
        <f>IF(OR(K280="",H280=""),"",K280-H280)</f>
        <v/>
      </c>
      <c r="M280" s="50">
        <f>IF(AND(J280="",L280=""),"",IF(OR(AND(J280&lt;&gt;"",J280&lt;0),AND(L280&lt;&gt;"",L280&lt;0)),"🔴 Überfällig",IF(OR(AND(J280&lt;&gt;"",J280&lt;=30),AND(L280&lt;&gt;"",L280&lt;=1000)),"🟡 Bald fällig","🟢 OK")))</f>
        <v/>
      </c>
      <c r="N280" s="38" t="n"/>
    </row>
    <row r="281">
      <c r="A281" s="32" t="n"/>
      <c r="B281" s="32" t="n"/>
      <c r="C281" s="32" t="n"/>
      <c r="D281" s="32" t="n"/>
      <c r="E281" s="32" t="n"/>
      <c r="F281" s="32" t="n"/>
      <c r="G281" s="32" t="n"/>
      <c r="H281" s="48">
        <f>IFERROR(VLOOKUP(A281,F_Tabelle,10,FALSE),"")</f>
        <v/>
      </c>
      <c r="I281" s="49">
        <f>IF(OR(D281="",F281=""),"",IF(F281=0,"",EDATE(D281,F281)))</f>
        <v/>
      </c>
      <c r="J281" s="50">
        <f>IF(I281="","",I281-TODAY())</f>
        <v/>
      </c>
      <c r="K281" s="48">
        <f>IF(OR(E281="",G281=""),"",IF(G281=0,"",E281+G281))</f>
        <v/>
      </c>
      <c r="L281" s="48">
        <f>IF(OR(K281="",H281=""),"",K281-H281)</f>
        <v/>
      </c>
      <c r="M281" s="50">
        <f>IF(AND(J281="",L281=""),"",IF(OR(AND(J281&lt;&gt;"",J281&lt;0),AND(L281&lt;&gt;"",L281&lt;0)),"🔴 Überfällig",IF(OR(AND(J281&lt;&gt;"",J281&lt;=30),AND(L281&lt;&gt;"",L281&lt;=1000)),"🟡 Bald fällig","🟢 OK")))</f>
        <v/>
      </c>
      <c r="N281" s="40" t="n"/>
    </row>
    <row r="282">
      <c r="A282" s="34" t="n"/>
      <c r="B282" s="34" t="n"/>
      <c r="C282" s="34" t="n"/>
      <c r="D282" s="34" t="n"/>
      <c r="E282" s="34" t="n"/>
      <c r="F282" s="34" t="n"/>
      <c r="G282" s="34" t="n"/>
      <c r="H282" s="48">
        <f>IFERROR(VLOOKUP(A282,F_Tabelle,10,FALSE),"")</f>
        <v/>
      </c>
      <c r="I282" s="49">
        <f>IF(OR(D282="",F282=""),"",IF(F282=0,"",EDATE(D282,F282)))</f>
        <v/>
      </c>
      <c r="J282" s="50">
        <f>IF(I282="","",I282-TODAY())</f>
        <v/>
      </c>
      <c r="K282" s="48">
        <f>IF(OR(E282="",G282=""),"",IF(G282=0,"",E282+G282))</f>
        <v/>
      </c>
      <c r="L282" s="48">
        <f>IF(OR(K282="",H282=""),"",K282-H282)</f>
        <v/>
      </c>
      <c r="M282" s="50">
        <f>IF(AND(J282="",L282=""),"",IF(OR(AND(J282&lt;&gt;"",J282&lt;0),AND(L282&lt;&gt;"",L282&lt;0)),"🔴 Überfällig",IF(OR(AND(J282&lt;&gt;"",J282&lt;=30),AND(L282&lt;&gt;"",L282&lt;=1000)),"🟡 Bald fällig","🟢 OK")))</f>
        <v/>
      </c>
      <c r="N282" s="38" t="n"/>
    </row>
    <row r="283">
      <c r="A283" s="32" t="n"/>
      <c r="B283" s="32" t="n"/>
      <c r="C283" s="32" t="n"/>
      <c r="D283" s="32" t="n"/>
      <c r="E283" s="32" t="n"/>
      <c r="F283" s="32" t="n"/>
      <c r="G283" s="32" t="n"/>
      <c r="H283" s="48">
        <f>IFERROR(VLOOKUP(A283,F_Tabelle,10,FALSE),"")</f>
        <v/>
      </c>
      <c r="I283" s="49">
        <f>IF(OR(D283="",F283=""),"",IF(F283=0,"",EDATE(D283,F283)))</f>
        <v/>
      </c>
      <c r="J283" s="50">
        <f>IF(I283="","",I283-TODAY())</f>
        <v/>
      </c>
      <c r="K283" s="48">
        <f>IF(OR(E283="",G283=""),"",IF(G283=0,"",E283+G283))</f>
        <v/>
      </c>
      <c r="L283" s="48">
        <f>IF(OR(K283="",H283=""),"",K283-H283)</f>
        <v/>
      </c>
      <c r="M283" s="50">
        <f>IF(AND(J283="",L283=""),"",IF(OR(AND(J283&lt;&gt;"",J283&lt;0),AND(L283&lt;&gt;"",L283&lt;0)),"🔴 Überfällig",IF(OR(AND(J283&lt;&gt;"",J283&lt;=30),AND(L283&lt;&gt;"",L283&lt;=1000)),"🟡 Bald fällig","🟢 OK")))</f>
        <v/>
      </c>
      <c r="N283" s="40" t="n"/>
    </row>
    <row r="284">
      <c r="A284" s="34" t="n"/>
      <c r="B284" s="34" t="n"/>
      <c r="C284" s="34" t="n"/>
      <c r="D284" s="34" t="n"/>
      <c r="E284" s="34" t="n"/>
      <c r="F284" s="34" t="n"/>
      <c r="G284" s="34" t="n"/>
      <c r="H284" s="48">
        <f>IFERROR(VLOOKUP(A284,F_Tabelle,10,FALSE),"")</f>
        <v/>
      </c>
      <c r="I284" s="49">
        <f>IF(OR(D284="",F284=""),"",IF(F284=0,"",EDATE(D284,F284)))</f>
        <v/>
      </c>
      <c r="J284" s="50">
        <f>IF(I284="","",I284-TODAY())</f>
        <v/>
      </c>
      <c r="K284" s="48">
        <f>IF(OR(E284="",G284=""),"",IF(G284=0,"",E284+G284))</f>
        <v/>
      </c>
      <c r="L284" s="48">
        <f>IF(OR(K284="",H284=""),"",K284-H284)</f>
        <v/>
      </c>
      <c r="M284" s="50">
        <f>IF(AND(J284="",L284=""),"",IF(OR(AND(J284&lt;&gt;"",J284&lt;0),AND(L284&lt;&gt;"",L284&lt;0)),"🔴 Überfällig",IF(OR(AND(J284&lt;&gt;"",J284&lt;=30),AND(L284&lt;&gt;"",L284&lt;=1000)),"🟡 Bald fällig","🟢 OK")))</f>
        <v/>
      </c>
      <c r="N284" s="38" t="n"/>
    </row>
    <row r="285">
      <c r="A285" s="32" t="n"/>
      <c r="B285" s="32" t="n"/>
      <c r="C285" s="32" t="n"/>
      <c r="D285" s="32" t="n"/>
      <c r="E285" s="32" t="n"/>
      <c r="F285" s="32" t="n"/>
      <c r="G285" s="32" t="n"/>
      <c r="H285" s="48">
        <f>IFERROR(VLOOKUP(A285,F_Tabelle,10,FALSE),"")</f>
        <v/>
      </c>
      <c r="I285" s="49">
        <f>IF(OR(D285="",F285=""),"",IF(F285=0,"",EDATE(D285,F285)))</f>
        <v/>
      </c>
      <c r="J285" s="50">
        <f>IF(I285="","",I285-TODAY())</f>
        <v/>
      </c>
      <c r="K285" s="48">
        <f>IF(OR(E285="",G285=""),"",IF(G285=0,"",E285+G285))</f>
        <v/>
      </c>
      <c r="L285" s="48">
        <f>IF(OR(K285="",H285=""),"",K285-H285)</f>
        <v/>
      </c>
      <c r="M285" s="50">
        <f>IF(AND(J285="",L285=""),"",IF(OR(AND(J285&lt;&gt;"",J285&lt;0),AND(L285&lt;&gt;"",L285&lt;0)),"🔴 Überfällig",IF(OR(AND(J285&lt;&gt;"",J285&lt;=30),AND(L285&lt;&gt;"",L285&lt;=1000)),"🟡 Bald fällig","🟢 OK")))</f>
        <v/>
      </c>
      <c r="N285" s="40" t="n"/>
    </row>
    <row r="286">
      <c r="A286" s="34" t="n"/>
      <c r="B286" s="34" t="n"/>
      <c r="C286" s="34" t="n"/>
      <c r="D286" s="34" t="n"/>
      <c r="E286" s="34" t="n"/>
      <c r="F286" s="34" t="n"/>
      <c r="G286" s="34" t="n"/>
      <c r="H286" s="48">
        <f>IFERROR(VLOOKUP(A286,F_Tabelle,10,FALSE),"")</f>
        <v/>
      </c>
      <c r="I286" s="49">
        <f>IF(OR(D286="",F286=""),"",IF(F286=0,"",EDATE(D286,F286)))</f>
        <v/>
      </c>
      <c r="J286" s="50">
        <f>IF(I286="","",I286-TODAY())</f>
        <v/>
      </c>
      <c r="K286" s="48">
        <f>IF(OR(E286="",G286=""),"",IF(G286=0,"",E286+G286))</f>
        <v/>
      </c>
      <c r="L286" s="48">
        <f>IF(OR(K286="",H286=""),"",K286-H286)</f>
        <v/>
      </c>
      <c r="M286" s="50">
        <f>IF(AND(J286="",L286=""),"",IF(OR(AND(J286&lt;&gt;"",J286&lt;0),AND(L286&lt;&gt;"",L286&lt;0)),"🔴 Überfällig",IF(OR(AND(J286&lt;&gt;"",J286&lt;=30),AND(L286&lt;&gt;"",L286&lt;=1000)),"🟡 Bald fällig","🟢 OK")))</f>
        <v/>
      </c>
      <c r="N286" s="38" t="n"/>
    </row>
    <row r="287">
      <c r="A287" s="32" t="n"/>
      <c r="B287" s="32" t="n"/>
      <c r="C287" s="32" t="n"/>
      <c r="D287" s="32" t="n"/>
      <c r="E287" s="32" t="n"/>
      <c r="F287" s="32" t="n"/>
      <c r="G287" s="32" t="n"/>
      <c r="H287" s="48">
        <f>IFERROR(VLOOKUP(A287,F_Tabelle,10,FALSE),"")</f>
        <v/>
      </c>
      <c r="I287" s="49">
        <f>IF(OR(D287="",F287=""),"",IF(F287=0,"",EDATE(D287,F287)))</f>
        <v/>
      </c>
      <c r="J287" s="50">
        <f>IF(I287="","",I287-TODAY())</f>
        <v/>
      </c>
      <c r="K287" s="48">
        <f>IF(OR(E287="",G287=""),"",IF(G287=0,"",E287+G287))</f>
        <v/>
      </c>
      <c r="L287" s="48">
        <f>IF(OR(K287="",H287=""),"",K287-H287)</f>
        <v/>
      </c>
      <c r="M287" s="50">
        <f>IF(AND(J287="",L287=""),"",IF(OR(AND(J287&lt;&gt;"",J287&lt;0),AND(L287&lt;&gt;"",L287&lt;0)),"🔴 Überfällig",IF(OR(AND(J287&lt;&gt;"",J287&lt;=30),AND(L287&lt;&gt;"",L287&lt;=1000)),"🟡 Bald fällig","🟢 OK")))</f>
        <v/>
      </c>
      <c r="N287" s="40" t="n"/>
    </row>
    <row r="288">
      <c r="A288" s="34" t="n"/>
      <c r="B288" s="34" t="n"/>
      <c r="C288" s="34" t="n"/>
      <c r="D288" s="34" t="n"/>
      <c r="E288" s="34" t="n"/>
      <c r="F288" s="34" t="n"/>
      <c r="G288" s="34" t="n"/>
      <c r="H288" s="48">
        <f>IFERROR(VLOOKUP(A288,F_Tabelle,10,FALSE),"")</f>
        <v/>
      </c>
      <c r="I288" s="49">
        <f>IF(OR(D288="",F288=""),"",IF(F288=0,"",EDATE(D288,F288)))</f>
        <v/>
      </c>
      <c r="J288" s="50">
        <f>IF(I288="","",I288-TODAY())</f>
        <v/>
      </c>
      <c r="K288" s="48">
        <f>IF(OR(E288="",G288=""),"",IF(G288=0,"",E288+G288))</f>
        <v/>
      </c>
      <c r="L288" s="48">
        <f>IF(OR(K288="",H288=""),"",K288-H288)</f>
        <v/>
      </c>
      <c r="M288" s="50">
        <f>IF(AND(J288="",L288=""),"",IF(OR(AND(J288&lt;&gt;"",J288&lt;0),AND(L288&lt;&gt;"",L288&lt;0)),"🔴 Überfällig",IF(OR(AND(J288&lt;&gt;"",J288&lt;=30),AND(L288&lt;&gt;"",L288&lt;=1000)),"🟡 Bald fällig","🟢 OK")))</f>
        <v/>
      </c>
      <c r="N288" s="38" t="n"/>
    </row>
    <row r="289">
      <c r="A289" s="32" t="n"/>
      <c r="B289" s="32" t="n"/>
      <c r="C289" s="32" t="n"/>
      <c r="D289" s="32" t="n"/>
      <c r="E289" s="32" t="n"/>
      <c r="F289" s="32" t="n"/>
      <c r="G289" s="32" t="n"/>
      <c r="H289" s="48">
        <f>IFERROR(VLOOKUP(A289,F_Tabelle,10,FALSE),"")</f>
        <v/>
      </c>
      <c r="I289" s="49">
        <f>IF(OR(D289="",F289=""),"",IF(F289=0,"",EDATE(D289,F289)))</f>
        <v/>
      </c>
      <c r="J289" s="50">
        <f>IF(I289="","",I289-TODAY())</f>
        <v/>
      </c>
      <c r="K289" s="48">
        <f>IF(OR(E289="",G289=""),"",IF(G289=0,"",E289+G289))</f>
        <v/>
      </c>
      <c r="L289" s="48">
        <f>IF(OR(K289="",H289=""),"",K289-H289)</f>
        <v/>
      </c>
      <c r="M289" s="50">
        <f>IF(AND(J289="",L289=""),"",IF(OR(AND(J289&lt;&gt;"",J289&lt;0),AND(L289&lt;&gt;"",L289&lt;0)),"🔴 Überfällig",IF(OR(AND(J289&lt;&gt;"",J289&lt;=30),AND(L289&lt;&gt;"",L289&lt;=1000)),"🟡 Bald fällig","🟢 OK")))</f>
        <v/>
      </c>
      <c r="N289" s="40" t="n"/>
    </row>
    <row r="290">
      <c r="A290" s="34" t="n"/>
      <c r="B290" s="34" t="n"/>
      <c r="C290" s="34" t="n"/>
      <c r="D290" s="34" t="n"/>
      <c r="E290" s="34" t="n"/>
      <c r="F290" s="34" t="n"/>
      <c r="G290" s="34" t="n"/>
      <c r="H290" s="48">
        <f>IFERROR(VLOOKUP(A290,F_Tabelle,10,FALSE),"")</f>
        <v/>
      </c>
      <c r="I290" s="49">
        <f>IF(OR(D290="",F290=""),"",IF(F290=0,"",EDATE(D290,F290)))</f>
        <v/>
      </c>
      <c r="J290" s="50">
        <f>IF(I290="","",I290-TODAY())</f>
        <v/>
      </c>
      <c r="K290" s="48">
        <f>IF(OR(E290="",G290=""),"",IF(G290=0,"",E290+G290))</f>
        <v/>
      </c>
      <c r="L290" s="48">
        <f>IF(OR(K290="",H290=""),"",K290-H290)</f>
        <v/>
      </c>
      <c r="M290" s="50">
        <f>IF(AND(J290="",L290=""),"",IF(OR(AND(J290&lt;&gt;"",J290&lt;0),AND(L290&lt;&gt;"",L290&lt;0)),"🔴 Überfällig",IF(OR(AND(J290&lt;&gt;"",J290&lt;=30),AND(L290&lt;&gt;"",L290&lt;=1000)),"🟡 Bald fällig","🟢 OK")))</f>
        <v/>
      </c>
      <c r="N290" s="38" t="n"/>
    </row>
    <row r="291">
      <c r="A291" s="32" t="n"/>
      <c r="B291" s="32" t="n"/>
      <c r="C291" s="32" t="n"/>
      <c r="D291" s="32" t="n"/>
      <c r="E291" s="32" t="n"/>
      <c r="F291" s="32" t="n"/>
      <c r="G291" s="32" t="n"/>
      <c r="H291" s="48">
        <f>IFERROR(VLOOKUP(A291,F_Tabelle,10,FALSE),"")</f>
        <v/>
      </c>
      <c r="I291" s="49">
        <f>IF(OR(D291="",F291=""),"",IF(F291=0,"",EDATE(D291,F291)))</f>
        <v/>
      </c>
      <c r="J291" s="50">
        <f>IF(I291="","",I291-TODAY())</f>
        <v/>
      </c>
      <c r="K291" s="48">
        <f>IF(OR(E291="",G291=""),"",IF(G291=0,"",E291+G291))</f>
        <v/>
      </c>
      <c r="L291" s="48">
        <f>IF(OR(K291="",H291=""),"",K291-H291)</f>
        <v/>
      </c>
      <c r="M291" s="50">
        <f>IF(AND(J291="",L291=""),"",IF(OR(AND(J291&lt;&gt;"",J291&lt;0),AND(L291&lt;&gt;"",L291&lt;0)),"🔴 Überfällig",IF(OR(AND(J291&lt;&gt;"",J291&lt;=30),AND(L291&lt;&gt;"",L291&lt;=1000)),"🟡 Bald fällig","🟢 OK")))</f>
        <v/>
      </c>
      <c r="N291" s="40" t="n"/>
    </row>
    <row r="292">
      <c r="A292" s="34" t="n"/>
      <c r="B292" s="34" t="n"/>
      <c r="C292" s="34" t="n"/>
      <c r="D292" s="34" t="n"/>
      <c r="E292" s="34" t="n"/>
      <c r="F292" s="34" t="n"/>
      <c r="G292" s="34" t="n"/>
      <c r="H292" s="48">
        <f>IFERROR(VLOOKUP(A292,F_Tabelle,10,FALSE),"")</f>
        <v/>
      </c>
      <c r="I292" s="49">
        <f>IF(OR(D292="",F292=""),"",IF(F292=0,"",EDATE(D292,F292)))</f>
        <v/>
      </c>
      <c r="J292" s="50">
        <f>IF(I292="","",I292-TODAY())</f>
        <v/>
      </c>
      <c r="K292" s="48">
        <f>IF(OR(E292="",G292=""),"",IF(G292=0,"",E292+G292))</f>
        <v/>
      </c>
      <c r="L292" s="48">
        <f>IF(OR(K292="",H292=""),"",K292-H292)</f>
        <v/>
      </c>
      <c r="M292" s="50">
        <f>IF(AND(J292="",L292=""),"",IF(OR(AND(J292&lt;&gt;"",J292&lt;0),AND(L292&lt;&gt;"",L292&lt;0)),"🔴 Überfällig",IF(OR(AND(J292&lt;&gt;"",J292&lt;=30),AND(L292&lt;&gt;"",L292&lt;=1000)),"🟡 Bald fällig","🟢 OK")))</f>
        <v/>
      </c>
      <c r="N292" s="38" t="n"/>
    </row>
    <row r="293">
      <c r="A293" s="32" t="n"/>
      <c r="B293" s="32" t="n"/>
      <c r="C293" s="32" t="n"/>
      <c r="D293" s="32" t="n"/>
      <c r="E293" s="32" t="n"/>
      <c r="F293" s="32" t="n"/>
      <c r="G293" s="32" t="n"/>
      <c r="H293" s="48">
        <f>IFERROR(VLOOKUP(A293,F_Tabelle,10,FALSE),"")</f>
        <v/>
      </c>
      <c r="I293" s="49">
        <f>IF(OR(D293="",F293=""),"",IF(F293=0,"",EDATE(D293,F293)))</f>
        <v/>
      </c>
      <c r="J293" s="50">
        <f>IF(I293="","",I293-TODAY())</f>
        <v/>
      </c>
      <c r="K293" s="48">
        <f>IF(OR(E293="",G293=""),"",IF(G293=0,"",E293+G293))</f>
        <v/>
      </c>
      <c r="L293" s="48">
        <f>IF(OR(K293="",H293=""),"",K293-H293)</f>
        <v/>
      </c>
      <c r="M293" s="50">
        <f>IF(AND(J293="",L293=""),"",IF(OR(AND(J293&lt;&gt;"",J293&lt;0),AND(L293&lt;&gt;"",L293&lt;0)),"🔴 Überfällig",IF(OR(AND(J293&lt;&gt;"",J293&lt;=30),AND(L293&lt;&gt;"",L293&lt;=1000)),"🟡 Bald fällig","🟢 OK")))</f>
        <v/>
      </c>
      <c r="N293" s="40" t="n"/>
    </row>
    <row r="294">
      <c r="A294" s="34" t="n"/>
      <c r="B294" s="34" t="n"/>
      <c r="C294" s="34" t="n"/>
      <c r="D294" s="34" t="n"/>
      <c r="E294" s="34" t="n"/>
      <c r="F294" s="34" t="n"/>
      <c r="G294" s="34" t="n"/>
      <c r="H294" s="48">
        <f>IFERROR(VLOOKUP(A294,F_Tabelle,10,FALSE),"")</f>
        <v/>
      </c>
      <c r="I294" s="49">
        <f>IF(OR(D294="",F294=""),"",IF(F294=0,"",EDATE(D294,F294)))</f>
        <v/>
      </c>
      <c r="J294" s="50">
        <f>IF(I294="","",I294-TODAY())</f>
        <v/>
      </c>
      <c r="K294" s="48">
        <f>IF(OR(E294="",G294=""),"",IF(G294=0,"",E294+G294))</f>
        <v/>
      </c>
      <c r="L294" s="48">
        <f>IF(OR(K294="",H294=""),"",K294-H294)</f>
        <v/>
      </c>
      <c r="M294" s="50">
        <f>IF(AND(J294="",L294=""),"",IF(OR(AND(J294&lt;&gt;"",J294&lt;0),AND(L294&lt;&gt;"",L294&lt;0)),"🔴 Überfällig",IF(OR(AND(J294&lt;&gt;"",J294&lt;=30),AND(L294&lt;&gt;"",L294&lt;=1000)),"🟡 Bald fällig","🟢 OK")))</f>
        <v/>
      </c>
      <c r="N294" s="38" t="n"/>
    </row>
    <row r="295">
      <c r="A295" s="32" t="n"/>
      <c r="B295" s="32" t="n"/>
      <c r="C295" s="32" t="n"/>
      <c r="D295" s="32" t="n"/>
      <c r="E295" s="32" t="n"/>
      <c r="F295" s="32" t="n"/>
      <c r="G295" s="32" t="n"/>
      <c r="H295" s="48">
        <f>IFERROR(VLOOKUP(A295,F_Tabelle,10,FALSE),"")</f>
        <v/>
      </c>
      <c r="I295" s="49">
        <f>IF(OR(D295="",F295=""),"",IF(F295=0,"",EDATE(D295,F295)))</f>
        <v/>
      </c>
      <c r="J295" s="50">
        <f>IF(I295="","",I295-TODAY())</f>
        <v/>
      </c>
      <c r="K295" s="48">
        <f>IF(OR(E295="",G295=""),"",IF(G295=0,"",E295+G295))</f>
        <v/>
      </c>
      <c r="L295" s="48">
        <f>IF(OR(K295="",H295=""),"",K295-H295)</f>
        <v/>
      </c>
      <c r="M295" s="50">
        <f>IF(AND(J295="",L295=""),"",IF(OR(AND(J295&lt;&gt;"",J295&lt;0),AND(L295&lt;&gt;"",L295&lt;0)),"🔴 Überfällig",IF(OR(AND(J295&lt;&gt;"",J295&lt;=30),AND(L295&lt;&gt;"",L295&lt;=1000)),"🟡 Bald fällig","🟢 OK")))</f>
        <v/>
      </c>
      <c r="N295" s="40" t="n"/>
    </row>
    <row r="296">
      <c r="A296" s="34" t="n"/>
      <c r="B296" s="34" t="n"/>
      <c r="C296" s="34" t="n"/>
      <c r="D296" s="34" t="n"/>
      <c r="E296" s="34" t="n"/>
      <c r="F296" s="34" t="n"/>
      <c r="G296" s="34" t="n"/>
      <c r="H296" s="48">
        <f>IFERROR(VLOOKUP(A296,F_Tabelle,10,FALSE),"")</f>
        <v/>
      </c>
      <c r="I296" s="49">
        <f>IF(OR(D296="",F296=""),"",IF(F296=0,"",EDATE(D296,F296)))</f>
        <v/>
      </c>
      <c r="J296" s="50">
        <f>IF(I296="","",I296-TODAY())</f>
        <v/>
      </c>
      <c r="K296" s="48">
        <f>IF(OR(E296="",G296=""),"",IF(G296=0,"",E296+G296))</f>
        <v/>
      </c>
      <c r="L296" s="48">
        <f>IF(OR(K296="",H296=""),"",K296-H296)</f>
        <v/>
      </c>
      <c r="M296" s="50">
        <f>IF(AND(J296="",L296=""),"",IF(OR(AND(J296&lt;&gt;"",J296&lt;0),AND(L296&lt;&gt;"",L296&lt;0)),"🔴 Überfällig",IF(OR(AND(J296&lt;&gt;"",J296&lt;=30),AND(L296&lt;&gt;"",L296&lt;=1000)),"🟡 Bald fällig","🟢 OK")))</f>
        <v/>
      </c>
      <c r="N296" s="38" t="n"/>
    </row>
    <row r="297">
      <c r="A297" s="32" t="n"/>
      <c r="B297" s="32" t="n"/>
      <c r="C297" s="32" t="n"/>
      <c r="D297" s="32" t="n"/>
      <c r="E297" s="32" t="n"/>
      <c r="F297" s="32" t="n"/>
      <c r="G297" s="32" t="n"/>
      <c r="H297" s="48">
        <f>IFERROR(VLOOKUP(A297,F_Tabelle,10,FALSE),"")</f>
        <v/>
      </c>
      <c r="I297" s="49">
        <f>IF(OR(D297="",F297=""),"",IF(F297=0,"",EDATE(D297,F297)))</f>
        <v/>
      </c>
      <c r="J297" s="50">
        <f>IF(I297="","",I297-TODAY())</f>
        <v/>
      </c>
      <c r="K297" s="48">
        <f>IF(OR(E297="",G297=""),"",IF(G297=0,"",E297+G297))</f>
        <v/>
      </c>
      <c r="L297" s="48">
        <f>IF(OR(K297="",H297=""),"",K297-H297)</f>
        <v/>
      </c>
      <c r="M297" s="50">
        <f>IF(AND(J297="",L297=""),"",IF(OR(AND(J297&lt;&gt;"",J297&lt;0),AND(L297&lt;&gt;"",L297&lt;0)),"🔴 Überfällig",IF(OR(AND(J297&lt;&gt;"",J297&lt;=30),AND(L297&lt;&gt;"",L297&lt;=1000)),"🟡 Bald fällig","🟢 OK")))</f>
        <v/>
      </c>
      <c r="N297" s="40" t="n"/>
    </row>
    <row r="298">
      <c r="A298" s="34" t="n"/>
      <c r="B298" s="34" t="n"/>
      <c r="C298" s="34" t="n"/>
      <c r="D298" s="34" t="n"/>
      <c r="E298" s="34" t="n"/>
      <c r="F298" s="34" t="n"/>
      <c r="G298" s="34" t="n"/>
      <c r="H298" s="48">
        <f>IFERROR(VLOOKUP(A298,F_Tabelle,10,FALSE),"")</f>
        <v/>
      </c>
      <c r="I298" s="49">
        <f>IF(OR(D298="",F298=""),"",IF(F298=0,"",EDATE(D298,F298)))</f>
        <v/>
      </c>
      <c r="J298" s="50">
        <f>IF(I298="","",I298-TODAY())</f>
        <v/>
      </c>
      <c r="K298" s="48">
        <f>IF(OR(E298="",G298=""),"",IF(G298=0,"",E298+G298))</f>
        <v/>
      </c>
      <c r="L298" s="48">
        <f>IF(OR(K298="",H298=""),"",K298-H298)</f>
        <v/>
      </c>
      <c r="M298" s="50">
        <f>IF(AND(J298="",L298=""),"",IF(OR(AND(J298&lt;&gt;"",J298&lt;0),AND(L298&lt;&gt;"",L298&lt;0)),"🔴 Überfällig",IF(OR(AND(J298&lt;&gt;"",J298&lt;=30),AND(L298&lt;&gt;"",L298&lt;=1000)),"🟡 Bald fällig","🟢 OK")))</f>
        <v/>
      </c>
      <c r="N298" s="38" t="n"/>
    </row>
    <row r="299">
      <c r="A299" s="32" t="n"/>
      <c r="B299" s="32" t="n"/>
      <c r="C299" s="32" t="n"/>
      <c r="D299" s="32" t="n"/>
      <c r="E299" s="32" t="n"/>
      <c r="F299" s="32" t="n"/>
      <c r="G299" s="32" t="n"/>
      <c r="H299" s="48">
        <f>IFERROR(VLOOKUP(A299,F_Tabelle,10,FALSE),"")</f>
        <v/>
      </c>
      <c r="I299" s="49">
        <f>IF(OR(D299="",F299=""),"",IF(F299=0,"",EDATE(D299,F299)))</f>
        <v/>
      </c>
      <c r="J299" s="50">
        <f>IF(I299="","",I299-TODAY())</f>
        <v/>
      </c>
      <c r="K299" s="48">
        <f>IF(OR(E299="",G299=""),"",IF(G299=0,"",E299+G299))</f>
        <v/>
      </c>
      <c r="L299" s="48">
        <f>IF(OR(K299="",H299=""),"",K299-H299)</f>
        <v/>
      </c>
      <c r="M299" s="50">
        <f>IF(AND(J299="",L299=""),"",IF(OR(AND(J299&lt;&gt;"",J299&lt;0),AND(L299&lt;&gt;"",L299&lt;0)),"🔴 Überfällig",IF(OR(AND(J299&lt;&gt;"",J299&lt;=30),AND(L299&lt;&gt;"",L299&lt;=1000)),"🟡 Bald fällig","🟢 OK")))</f>
        <v/>
      </c>
      <c r="N299" s="40" t="n"/>
    </row>
    <row r="300">
      <c r="A300" s="34" t="n"/>
      <c r="B300" s="34" t="n"/>
      <c r="C300" s="34" t="n"/>
      <c r="D300" s="34" t="n"/>
      <c r="E300" s="34" t="n"/>
      <c r="F300" s="34" t="n"/>
      <c r="G300" s="34" t="n"/>
      <c r="H300" s="48">
        <f>IFERROR(VLOOKUP(A300,F_Tabelle,10,FALSE),"")</f>
        <v/>
      </c>
      <c r="I300" s="49">
        <f>IF(OR(D300="",F300=""),"",IF(F300=0,"",EDATE(D300,F300)))</f>
        <v/>
      </c>
      <c r="J300" s="50">
        <f>IF(I300="","",I300-TODAY())</f>
        <v/>
      </c>
      <c r="K300" s="48">
        <f>IF(OR(E300="",G300=""),"",IF(G300=0,"",E300+G300))</f>
        <v/>
      </c>
      <c r="L300" s="48">
        <f>IF(OR(K300="",H300=""),"",K300-H300)</f>
        <v/>
      </c>
      <c r="M300" s="50">
        <f>IF(AND(J300="",L300=""),"",IF(OR(AND(J300&lt;&gt;"",J300&lt;0),AND(L300&lt;&gt;"",L300&lt;0)),"🔴 Überfällig",IF(OR(AND(J300&lt;&gt;"",J300&lt;=30),AND(L300&lt;&gt;"",L300&lt;=1000)),"🟡 Bald fällig","🟢 OK")))</f>
        <v/>
      </c>
      <c r="N300" s="38" t="n"/>
    </row>
  </sheetData>
  <autoFilter ref="A3:N300"/>
  <mergeCells count="2">
    <mergeCell ref="A2:N2"/>
    <mergeCell ref="A1:N1"/>
  </mergeCells>
  <conditionalFormatting sqref="M4:M300">
    <cfRule type="expression" priority="1" dxfId="0">
      <formula>ISNUMBER(SEARCH("🔴",M4))</formula>
    </cfRule>
    <cfRule type="expression" priority="2" dxfId="1">
      <formula>ISNUMBER(SEARCH("🟡",M4))</formula>
    </cfRule>
    <cfRule type="expression" priority="3" dxfId="2">
      <formula>ISNUMBER(SEARCH("🟢",M4))</formula>
    </cfRule>
  </conditionalFormatting>
  <conditionalFormatting sqref="J4:J300">
    <cfRule type="cellIs" priority="4" operator="lessThan" dxfId="3">
      <formula>0</formula>
    </cfRule>
    <cfRule type="cellIs" priority="5" operator="between" dxfId="4">
      <formula>0</formula>
      <formula>30</formula>
    </cfRule>
  </conditionalFormatting>
  <dataValidations count="3">
    <dataValidation sqref="A4:A300" showDropDown="0" showInputMessage="0" showErrorMessage="0" allowBlank="1" type="list">
      <formula1>=F_Kennz</formula1>
    </dataValidation>
    <dataValidation sqref="B4:B300" showDropDown="0" showInputMessage="0" showErrorMessage="0" allowBlank="1" type="list">
      <formula1>=L_Typ</formula1>
    </dataValidation>
    <dataValidation sqref="C4:C300" showDropDown="0" showInputMessage="0" showErrorMessage="0" allowBlank="1" type="list">
      <formula1>=L_Wartung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5496"/>
    <outlinePr summaryBelow="1" summaryRight="1"/>
    <pageSetUpPr/>
  </sheetPr>
  <dimension ref="A1:K50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8" customWidth="1" min="4" max="4"/>
    <col width="15" customWidth="1" min="5" max="5"/>
    <col width="12" customWidth="1" min="6" max="6"/>
    <col width="18" customWidth="1" min="7" max="7"/>
    <col width="30" customWidth="1" min="8" max="8"/>
    <col width="12" customWidth="1" min="9" max="9"/>
    <col width="15" customWidth="1" min="10" max="10"/>
    <col width="14" customWidth="1" min="11" max="11"/>
  </cols>
  <sheetData>
    <row r="1" ht="36" customHeight="1">
      <c r="A1" s="36" t="inlineStr">
        <is>
          <t>WARTUNGSHISTORIE  /  PROTOKOLL</t>
        </is>
      </c>
    </row>
    <row r="2" ht="18" customHeight="1">
      <c r="A2" s="2" t="inlineStr">
        <is>
          <t>Jede durchgeführte Arbeit dokumentieren – Grundlage der Kostenauswertung.</t>
        </is>
      </c>
    </row>
    <row r="3" ht="26" customHeight="1">
      <c r="A3" s="37" t="inlineStr">
        <is>
          <t>Datum</t>
        </is>
      </c>
      <c r="B3" s="37" t="inlineStr">
        <is>
          <t>Kennzeichen</t>
        </is>
      </c>
      <c r="C3" s="37" t="inlineStr">
        <is>
          <t>Fahrzeugtyp</t>
        </is>
      </c>
      <c r="D3" s="37" t="inlineStr">
        <is>
          <t>Wartungsart</t>
        </is>
      </c>
      <c r="E3" s="37" t="inlineStr">
        <is>
          <t>Kostenkategorie</t>
        </is>
      </c>
      <c r="F3" s="37" t="inlineStr">
        <is>
          <t>km-Stand</t>
        </is>
      </c>
      <c r="G3" s="37" t="inlineStr">
        <is>
          <t>Werkstatt</t>
        </is>
      </c>
      <c r="H3" s="37" t="inlineStr">
        <is>
          <t>Beschreibung</t>
        </is>
      </c>
      <c r="I3" s="37" t="inlineStr">
        <is>
          <t>Kosten (€)</t>
        </is>
      </c>
      <c r="J3" s="37" t="inlineStr">
        <is>
          <t>Rechnungs-Nr.</t>
        </is>
      </c>
      <c r="K3" s="37" t="inlineStr">
        <is>
          <t>erledigt von</t>
        </is>
      </c>
    </row>
    <row r="4">
      <c r="A4" s="35" t="n">
        <v>45920</v>
      </c>
      <c r="B4" s="34" t="inlineStr">
        <is>
          <t>B-AH 1001</t>
        </is>
      </c>
      <c r="C4" s="34" t="inlineStr">
        <is>
          <t>PKW</t>
        </is>
      </c>
      <c r="D4" s="34" t="inlineStr">
        <is>
          <t>Inspektion</t>
        </is>
      </c>
      <c r="E4" s="34" t="inlineStr">
        <is>
          <t>Wartung</t>
        </is>
      </c>
      <c r="F4" s="39" t="n">
        <v>52000</v>
      </c>
      <c r="G4" s="38" t="inlineStr">
        <is>
          <t>Werkstatt Müller</t>
        </is>
      </c>
      <c r="H4" s="38" t="inlineStr">
        <is>
          <t>Jahresinspektion inkl. Ölwechsel</t>
        </is>
      </c>
      <c r="I4" s="51" t="n">
        <v>389.9</v>
      </c>
      <c r="J4" s="38" t="inlineStr">
        <is>
          <t>RE-2025-0912</t>
        </is>
      </c>
      <c r="K4" s="34" t="inlineStr">
        <is>
          <t>Müller</t>
        </is>
      </c>
    </row>
    <row r="5">
      <c r="A5" s="33" t="n">
        <v>45971</v>
      </c>
      <c r="B5" s="32" t="inlineStr">
        <is>
          <t>B-AH 2050</t>
        </is>
      </c>
      <c r="C5" s="32" t="inlineStr">
        <is>
          <t>Transporter</t>
        </is>
      </c>
      <c r="D5" s="32" t="inlineStr">
        <is>
          <t>Inspektion</t>
        </is>
      </c>
      <c r="E5" s="32" t="inlineStr">
        <is>
          <t>Wartung</t>
        </is>
      </c>
      <c r="F5" s="41" t="n">
        <v>130000</v>
      </c>
      <c r="G5" s="40" t="inlineStr">
        <is>
          <t>MB-Service</t>
        </is>
      </c>
      <c r="H5" s="40" t="inlineStr">
        <is>
          <t>Großer Service B</t>
        </is>
      </c>
      <c r="I5" s="52" t="n">
        <v>712.5</v>
      </c>
      <c r="J5" s="40" t="inlineStr">
        <is>
          <t>RE-2025-1188</t>
        </is>
      </c>
      <c r="K5" s="32" t="inlineStr">
        <is>
          <t>MB</t>
        </is>
      </c>
    </row>
    <row r="6">
      <c r="A6" s="35" t="n">
        <v>45992</v>
      </c>
      <c r="B6" s="34" t="inlineStr">
        <is>
          <t>B-AH 1002</t>
        </is>
      </c>
      <c r="C6" s="34" t="inlineStr">
        <is>
          <t>PKW</t>
        </is>
      </c>
      <c r="D6" s="34" t="inlineStr">
        <is>
          <t>Ölwechsel</t>
        </is>
      </c>
      <c r="E6" s="34" t="inlineStr">
        <is>
          <t>Wartung</t>
        </is>
      </c>
      <c r="F6" s="39" t="n">
        <v>48000</v>
      </c>
      <c r="G6" s="38" t="inlineStr">
        <is>
          <t>Werkstatt Müller</t>
        </is>
      </c>
      <c r="H6" s="38" t="inlineStr">
        <is>
          <t>Ölwechsel + Filter</t>
        </is>
      </c>
      <c r="I6" s="51" t="n">
        <v>129</v>
      </c>
      <c r="J6" s="38" t="inlineStr">
        <is>
          <t>RE-2025-1290</t>
        </is>
      </c>
      <c r="K6" s="34" t="inlineStr">
        <is>
          <t>Müller</t>
        </is>
      </c>
    </row>
    <row r="7">
      <c r="A7" s="33" t="n">
        <v>46021</v>
      </c>
      <c r="B7" s="32" t="inlineStr">
        <is>
          <t>B-AH 7800</t>
        </is>
      </c>
      <c r="C7" s="32" t="inlineStr">
        <is>
          <t>LKW</t>
        </is>
      </c>
      <c r="D7" s="32" t="inlineStr">
        <is>
          <t>SP (Sicherheitsprüfung)</t>
        </is>
      </c>
      <c r="E7" s="32" t="inlineStr">
        <is>
          <t>TÜV/HU</t>
        </is>
      </c>
      <c r="F7" s="41" t="n">
        <v>500000</v>
      </c>
      <c r="G7" s="40" t="inlineStr">
        <is>
          <t>DEKRA</t>
        </is>
      </c>
      <c r="H7" s="40" t="inlineStr">
        <is>
          <t>Sicherheitsprüfung bestanden</t>
        </is>
      </c>
      <c r="I7" s="52" t="n">
        <v>185</v>
      </c>
      <c r="J7" s="40" t="inlineStr">
        <is>
          <t>DK-558821</t>
        </is>
      </c>
      <c r="K7" s="32" t="inlineStr">
        <is>
          <t>DEKRA</t>
        </is>
      </c>
    </row>
    <row r="8">
      <c r="A8" s="35" t="n">
        <v>46037</v>
      </c>
      <c r="B8" s="34" t="inlineStr">
        <is>
          <t>B-AH 7800</t>
        </is>
      </c>
      <c r="C8" s="34" t="inlineStr">
        <is>
          <t>LKW</t>
        </is>
      </c>
      <c r="D8" s="34" t="inlineStr">
        <is>
          <t>Inspektion</t>
        </is>
      </c>
      <c r="E8" s="34" t="inlineStr">
        <is>
          <t>Wartung</t>
        </is>
      </c>
      <c r="F8" s="39" t="n">
        <v>505000</v>
      </c>
      <c r="G8" s="38" t="inlineStr">
        <is>
          <t>MAN-Service</t>
        </is>
      </c>
      <c r="H8" s="38" t="inlineStr">
        <is>
          <t>Service inkl. Bremsen vorne</t>
        </is>
      </c>
      <c r="I8" s="51" t="n">
        <v>1450.8</v>
      </c>
      <c r="J8" s="38" t="inlineStr">
        <is>
          <t>RE-2026-0042</t>
        </is>
      </c>
      <c r="K8" s="34" t="inlineStr">
        <is>
          <t>MAN</t>
        </is>
      </c>
    </row>
    <row r="9">
      <c r="A9" s="33" t="n">
        <v>46056</v>
      </c>
      <c r="B9" s="32" t="inlineStr">
        <is>
          <t>B-AH 2051</t>
        </is>
      </c>
      <c r="C9" s="32" t="inlineStr">
        <is>
          <t>Transporter</t>
        </is>
      </c>
      <c r="D9" s="32" t="inlineStr">
        <is>
          <t>Reifenwechsel</t>
        </is>
      </c>
      <c r="E9" s="32" t="inlineStr">
        <is>
          <t>Reifen</t>
        </is>
      </c>
      <c r="F9" s="41" t="n">
        <v>37000</v>
      </c>
      <c r="G9" s="40" t="inlineStr">
        <is>
          <t>Reifen Schmidt</t>
        </is>
      </c>
      <c r="H9" s="40" t="inlineStr">
        <is>
          <t>4x Winterreifen demontiert</t>
        </is>
      </c>
      <c r="I9" s="52" t="n">
        <v>95</v>
      </c>
      <c r="J9" s="40" t="inlineStr">
        <is>
          <t>RE-2026-0061</t>
        </is>
      </c>
      <c r="K9" s="32" t="inlineStr">
        <is>
          <t>Schmidt</t>
        </is>
      </c>
    </row>
    <row r="10">
      <c r="A10" s="35" t="n">
        <v>46093</v>
      </c>
      <c r="B10" s="34" t="inlineStr">
        <is>
          <t>B-AH 7801</t>
        </is>
      </c>
      <c r="C10" s="34" t="inlineStr">
        <is>
          <t>LKW</t>
        </is>
      </c>
      <c r="D10" s="34" t="inlineStr">
        <is>
          <t>Reparatur</t>
        </is>
      </c>
      <c r="E10" s="34" t="inlineStr">
        <is>
          <t>Reparatur</t>
        </is>
      </c>
      <c r="F10" s="39" t="n">
        <v>302000</v>
      </c>
      <c r="G10" s="38" t="inlineStr">
        <is>
          <t>Volvo-Service</t>
        </is>
      </c>
      <c r="H10" s="38" t="inlineStr">
        <is>
          <t>Turbolader getauscht</t>
        </is>
      </c>
      <c r="I10" s="51" t="n">
        <v>3280</v>
      </c>
      <c r="J10" s="38" t="inlineStr">
        <is>
          <t>RE-2026-0233</t>
        </is>
      </c>
      <c r="K10" s="34" t="inlineStr">
        <is>
          <t>Volvo</t>
        </is>
      </c>
    </row>
    <row r="11">
      <c r="A11" s="33" t="n"/>
      <c r="B11" s="32" t="n"/>
      <c r="C11" s="32" t="n"/>
      <c r="D11" s="32" t="n"/>
      <c r="E11" s="32" t="n"/>
      <c r="F11" s="41" t="n"/>
      <c r="G11" s="40" t="n"/>
      <c r="H11" s="40" t="n"/>
      <c r="I11" s="52" t="n"/>
      <c r="J11" s="40" t="n"/>
      <c r="K11" s="32" t="n"/>
    </row>
    <row r="12">
      <c r="A12" s="35" t="n"/>
      <c r="B12" s="34" t="n"/>
      <c r="C12" s="34" t="n"/>
      <c r="D12" s="34" t="n"/>
      <c r="E12" s="34" t="n"/>
      <c r="F12" s="39" t="n"/>
      <c r="G12" s="38" t="n"/>
      <c r="H12" s="38" t="n"/>
      <c r="I12" s="51" t="n"/>
      <c r="J12" s="38" t="n"/>
      <c r="K12" s="34" t="n"/>
    </row>
    <row r="13">
      <c r="A13" s="33" t="n"/>
      <c r="B13" s="32" t="n"/>
      <c r="C13" s="32" t="n"/>
      <c r="D13" s="32" t="n"/>
      <c r="E13" s="32" t="n"/>
      <c r="F13" s="41" t="n"/>
      <c r="G13" s="40" t="n"/>
      <c r="H13" s="40" t="n"/>
      <c r="I13" s="52" t="n"/>
      <c r="J13" s="40" t="n"/>
      <c r="K13" s="32" t="n"/>
    </row>
    <row r="14">
      <c r="A14" s="35" t="n"/>
      <c r="B14" s="34" t="n"/>
      <c r="C14" s="34" t="n"/>
      <c r="D14" s="34" t="n"/>
      <c r="E14" s="34" t="n"/>
      <c r="F14" s="39" t="n"/>
      <c r="G14" s="38" t="n"/>
      <c r="H14" s="38" t="n"/>
      <c r="I14" s="51" t="n"/>
      <c r="J14" s="38" t="n"/>
      <c r="K14" s="34" t="n"/>
    </row>
    <row r="15">
      <c r="A15" s="33" t="n"/>
      <c r="B15" s="32" t="n"/>
      <c r="C15" s="32" t="n"/>
      <c r="D15" s="32" t="n"/>
      <c r="E15" s="32" t="n"/>
      <c r="F15" s="41" t="n"/>
      <c r="G15" s="40" t="n"/>
      <c r="H15" s="40" t="n"/>
      <c r="I15" s="52" t="n"/>
      <c r="J15" s="40" t="n"/>
      <c r="K15" s="32" t="n"/>
    </row>
    <row r="16">
      <c r="A16" s="35" t="n"/>
      <c r="B16" s="34" t="n"/>
      <c r="C16" s="34" t="n"/>
      <c r="D16" s="34" t="n"/>
      <c r="E16" s="34" t="n"/>
      <c r="F16" s="39" t="n"/>
      <c r="G16" s="38" t="n"/>
      <c r="H16" s="38" t="n"/>
      <c r="I16" s="51" t="n"/>
      <c r="J16" s="38" t="n"/>
      <c r="K16" s="34" t="n"/>
    </row>
    <row r="17">
      <c r="A17" s="33" t="n"/>
      <c r="B17" s="32" t="n"/>
      <c r="C17" s="32" t="n"/>
      <c r="D17" s="32" t="n"/>
      <c r="E17" s="32" t="n"/>
      <c r="F17" s="41" t="n"/>
      <c r="G17" s="40" t="n"/>
      <c r="H17" s="40" t="n"/>
      <c r="I17" s="52" t="n"/>
      <c r="J17" s="40" t="n"/>
      <c r="K17" s="32" t="n"/>
    </row>
    <row r="18">
      <c r="A18" s="35" t="n"/>
      <c r="B18" s="34" t="n"/>
      <c r="C18" s="34" t="n"/>
      <c r="D18" s="34" t="n"/>
      <c r="E18" s="34" t="n"/>
      <c r="F18" s="39" t="n"/>
      <c r="G18" s="38" t="n"/>
      <c r="H18" s="38" t="n"/>
      <c r="I18" s="51" t="n"/>
      <c r="J18" s="38" t="n"/>
      <c r="K18" s="34" t="n"/>
    </row>
    <row r="19">
      <c r="A19" s="33" t="n"/>
      <c r="B19" s="32" t="n"/>
      <c r="C19" s="32" t="n"/>
      <c r="D19" s="32" t="n"/>
      <c r="E19" s="32" t="n"/>
      <c r="F19" s="41" t="n"/>
      <c r="G19" s="40" t="n"/>
      <c r="H19" s="40" t="n"/>
      <c r="I19" s="52" t="n"/>
      <c r="J19" s="40" t="n"/>
      <c r="K19" s="32" t="n"/>
    </row>
    <row r="20">
      <c r="A20" s="35" t="n"/>
      <c r="B20" s="34" t="n"/>
      <c r="C20" s="34" t="n"/>
      <c r="D20" s="34" t="n"/>
      <c r="E20" s="34" t="n"/>
      <c r="F20" s="39" t="n"/>
      <c r="G20" s="38" t="n"/>
      <c r="H20" s="38" t="n"/>
      <c r="I20" s="51" t="n"/>
      <c r="J20" s="38" t="n"/>
      <c r="K20" s="34" t="n"/>
    </row>
    <row r="21">
      <c r="A21" s="33" t="n"/>
      <c r="B21" s="32" t="n"/>
      <c r="C21" s="32" t="n"/>
      <c r="D21" s="32" t="n"/>
      <c r="E21" s="32" t="n"/>
      <c r="F21" s="41" t="n"/>
      <c r="G21" s="40" t="n"/>
      <c r="H21" s="40" t="n"/>
      <c r="I21" s="52" t="n"/>
      <c r="J21" s="40" t="n"/>
      <c r="K21" s="32" t="n"/>
    </row>
    <row r="22">
      <c r="A22" s="35" t="n"/>
      <c r="B22" s="34" t="n"/>
      <c r="C22" s="34" t="n"/>
      <c r="D22" s="34" t="n"/>
      <c r="E22" s="34" t="n"/>
      <c r="F22" s="39" t="n"/>
      <c r="G22" s="38" t="n"/>
      <c r="H22" s="38" t="n"/>
      <c r="I22" s="51" t="n"/>
      <c r="J22" s="38" t="n"/>
      <c r="K22" s="34" t="n"/>
    </row>
    <row r="23">
      <c r="A23" s="33" t="n"/>
      <c r="B23" s="32" t="n"/>
      <c r="C23" s="32" t="n"/>
      <c r="D23" s="32" t="n"/>
      <c r="E23" s="32" t="n"/>
      <c r="F23" s="41" t="n"/>
      <c r="G23" s="40" t="n"/>
      <c r="H23" s="40" t="n"/>
      <c r="I23" s="52" t="n"/>
      <c r="J23" s="40" t="n"/>
      <c r="K23" s="32" t="n"/>
    </row>
    <row r="24">
      <c r="A24" s="35" t="n"/>
      <c r="B24" s="34" t="n"/>
      <c r="C24" s="34" t="n"/>
      <c r="D24" s="34" t="n"/>
      <c r="E24" s="34" t="n"/>
      <c r="F24" s="39" t="n"/>
      <c r="G24" s="38" t="n"/>
      <c r="H24" s="38" t="n"/>
      <c r="I24" s="51" t="n"/>
      <c r="J24" s="38" t="n"/>
      <c r="K24" s="34" t="n"/>
    </row>
    <row r="25">
      <c r="A25" s="33" t="n"/>
      <c r="B25" s="32" t="n"/>
      <c r="C25" s="32" t="n"/>
      <c r="D25" s="32" t="n"/>
      <c r="E25" s="32" t="n"/>
      <c r="F25" s="41" t="n"/>
      <c r="G25" s="40" t="n"/>
      <c r="H25" s="40" t="n"/>
      <c r="I25" s="52" t="n"/>
      <c r="J25" s="40" t="n"/>
      <c r="K25" s="32" t="n"/>
    </row>
    <row r="26">
      <c r="A26" s="35" t="n"/>
      <c r="B26" s="34" t="n"/>
      <c r="C26" s="34" t="n"/>
      <c r="D26" s="34" t="n"/>
      <c r="E26" s="34" t="n"/>
      <c r="F26" s="39" t="n"/>
      <c r="G26" s="38" t="n"/>
      <c r="H26" s="38" t="n"/>
      <c r="I26" s="51" t="n"/>
      <c r="J26" s="38" t="n"/>
      <c r="K26" s="34" t="n"/>
    </row>
    <row r="27">
      <c r="A27" s="33" t="n"/>
      <c r="B27" s="32" t="n"/>
      <c r="C27" s="32" t="n"/>
      <c r="D27" s="32" t="n"/>
      <c r="E27" s="32" t="n"/>
      <c r="F27" s="41" t="n"/>
      <c r="G27" s="40" t="n"/>
      <c r="H27" s="40" t="n"/>
      <c r="I27" s="52" t="n"/>
      <c r="J27" s="40" t="n"/>
      <c r="K27" s="32" t="n"/>
    </row>
    <row r="28">
      <c r="A28" s="35" t="n"/>
      <c r="B28" s="34" t="n"/>
      <c r="C28" s="34" t="n"/>
      <c r="D28" s="34" t="n"/>
      <c r="E28" s="34" t="n"/>
      <c r="F28" s="39" t="n"/>
      <c r="G28" s="38" t="n"/>
      <c r="H28" s="38" t="n"/>
      <c r="I28" s="51" t="n"/>
      <c r="J28" s="38" t="n"/>
      <c r="K28" s="34" t="n"/>
    </row>
    <row r="29">
      <c r="A29" s="33" t="n"/>
      <c r="B29" s="32" t="n"/>
      <c r="C29" s="32" t="n"/>
      <c r="D29" s="32" t="n"/>
      <c r="E29" s="32" t="n"/>
      <c r="F29" s="41" t="n"/>
      <c r="G29" s="40" t="n"/>
      <c r="H29" s="40" t="n"/>
      <c r="I29" s="52" t="n"/>
      <c r="J29" s="40" t="n"/>
      <c r="K29" s="32" t="n"/>
    </row>
    <row r="30">
      <c r="A30" s="35" t="n"/>
      <c r="B30" s="34" t="n"/>
      <c r="C30" s="34" t="n"/>
      <c r="D30" s="34" t="n"/>
      <c r="E30" s="34" t="n"/>
      <c r="F30" s="39" t="n"/>
      <c r="G30" s="38" t="n"/>
      <c r="H30" s="38" t="n"/>
      <c r="I30" s="51" t="n"/>
      <c r="J30" s="38" t="n"/>
      <c r="K30" s="34" t="n"/>
    </row>
    <row r="31">
      <c r="A31" s="33" t="n"/>
      <c r="B31" s="32" t="n"/>
      <c r="C31" s="32" t="n"/>
      <c r="D31" s="32" t="n"/>
      <c r="E31" s="32" t="n"/>
      <c r="F31" s="41" t="n"/>
      <c r="G31" s="40" t="n"/>
      <c r="H31" s="40" t="n"/>
      <c r="I31" s="52" t="n"/>
      <c r="J31" s="40" t="n"/>
      <c r="K31" s="32" t="n"/>
    </row>
    <row r="32">
      <c r="A32" s="35" t="n"/>
      <c r="B32" s="34" t="n"/>
      <c r="C32" s="34" t="n"/>
      <c r="D32" s="34" t="n"/>
      <c r="E32" s="34" t="n"/>
      <c r="F32" s="39" t="n"/>
      <c r="G32" s="38" t="n"/>
      <c r="H32" s="38" t="n"/>
      <c r="I32" s="51" t="n"/>
      <c r="J32" s="38" t="n"/>
      <c r="K32" s="34" t="n"/>
    </row>
    <row r="33">
      <c r="A33" s="33" t="n"/>
      <c r="B33" s="32" t="n"/>
      <c r="C33" s="32" t="n"/>
      <c r="D33" s="32" t="n"/>
      <c r="E33" s="32" t="n"/>
      <c r="F33" s="41" t="n"/>
      <c r="G33" s="40" t="n"/>
      <c r="H33" s="40" t="n"/>
      <c r="I33" s="52" t="n"/>
      <c r="J33" s="40" t="n"/>
      <c r="K33" s="32" t="n"/>
    </row>
    <row r="34">
      <c r="A34" s="35" t="n"/>
      <c r="B34" s="34" t="n"/>
      <c r="C34" s="34" t="n"/>
      <c r="D34" s="34" t="n"/>
      <c r="E34" s="34" t="n"/>
      <c r="F34" s="39" t="n"/>
      <c r="G34" s="38" t="n"/>
      <c r="H34" s="38" t="n"/>
      <c r="I34" s="51" t="n"/>
      <c r="J34" s="38" t="n"/>
      <c r="K34" s="34" t="n"/>
    </row>
    <row r="35">
      <c r="A35" s="33" t="n"/>
      <c r="B35" s="32" t="n"/>
      <c r="C35" s="32" t="n"/>
      <c r="D35" s="32" t="n"/>
      <c r="E35" s="32" t="n"/>
      <c r="F35" s="41" t="n"/>
      <c r="G35" s="40" t="n"/>
      <c r="H35" s="40" t="n"/>
      <c r="I35" s="52" t="n"/>
      <c r="J35" s="40" t="n"/>
      <c r="K35" s="32" t="n"/>
    </row>
    <row r="36">
      <c r="A36" s="35" t="n"/>
      <c r="B36" s="34" t="n"/>
      <c r="C36" s="34" t="n"/>
      <c r="D36" s="34" t="n"/>
      <c r="E36" s="34" t="n"/>
      <c r="F36" s="39" t="n"/>
      <c r="G36" s="38" t="n"/>
      <c r="H36" s="38" t="n"/>
      <c r="I36" s="51" t="n"/>
      <c r="J36" s="38" t="n"/>
      <c r="K36" s="34" t="n"/>
    </row>
    <row r="37">
      <c r="A37" s="33" t="n"/>
      <c r="B37" s="32" t="n"/>
      <c r="C37" s="32" t="n"/>
      <c r="D37" s="32" t="n"/>
      <c r="E37" s="32" t="n"/>
      <c r="F37" s="41" t="n"/>
      <c r="G37" s="40" t="n"/>
      <c r="H37" s="40" t="n"/>
      <c r="I37" s="52" t="n"/>
      <c r="J37" s="40" t="n"/>
      <c r="K37" s="32" t="n"/>
    </row>
    <row r="38">
      <c r="A38" s="35" t="n"/>
      <c r="B38" s="34" t="n"/>
      <c r="C38" s="34" t="n"/>
      <c r="D38" s="34" t="n"/>
      <c r="E38" s="34" t="n"/>
      <c r="F38" s="39" t="n"/>
      <c r="G38" s="38" t="n"/>
      <c r="H38" s="38" t="n"/>
      <c r="I38" s="51" t="n"/>
      <c r="J38" s="38" t="n"/>
      <c r="K38" s="34" t="n"/>
    </row>
    <row r="39">
      <c r="A39" s="33" t="n"/>
      <c r="B39" s="32" t="n"/>
      <c r="C39" s="32" t="n"/>
      <c r="D39" s="32" t="n"/>
      <c r="E39" s="32" t="n"/>
      <c r="F39" s="41" t="n"/>
      <c r="G39" s="40" t="n"/>
      <c r="H39" s="40" t="n"/>
      <c r="I39" s="52" t="n"/>
      <c r="J39" s="40" t="n"/>
      <c r="K39" s="32" t="n"/>
    </row>
    <row r="40">
      <c r="A40" s="35" t="n"/>
      <c r="B40" s="34" t="n"/>
      <c r="C40" s="34" t="n"/>
      <c r="D40" s="34" t="n"/>
      <c r="E40" s="34" t="n"/>
      <c r="F40" s="39" t="n"/>
      <c r="G40" s="38" t="n"/>
      <c r="H40" s="38" t="n"/>
      <c r="I40" s="51" t="n"/>
      <c r="J40" s="38" t="n"/>
      <c r="K40" s="34" t="n"/>
    </row>
    <row r="41">
      <c r="A41" s="33" t="n"/>
      <c r="B41" s="32" t="n"/>
      <c r="C41" s="32" t="n"/>
      <c r="D41" s="32" t="n"/>
      <c r="E41" s="32" t="n"/>
      <c r="F41" s="41" t="n"/>
      <c r="G41" s="40" t="n"/>
      <c r="H41" s="40" t="n"/>
      <c r="I41" s="52" t="n"/>
      <c r="J41" s="40" t="n"/>
      <c r="K41" s="32" t="n"/>
    </row>
    <row r="42">
      <c r="A42" s="35" t="n"/>
      <c r="B42" s="34" t="n"/>
      <c r="C42" s="34" t="n"/>
      <c r="D42" s="34" t="n"/>
      <c r="E42" s="34" t="n"/>
      <c r="F42" s="39" t="n"/>
      <c r="G42" s="38" t="n"/>
      <c r="H42" s="38" t="n"/>
      <c r="I42" s="51" t="n"/>
      <c r="J42" s="38" t="n"/>
      <c r="K42" s="34" t="n"/>
    </row>
    <row r="43">
      <c r="A43" s="33" t="n"/>
      <c r="B43" s="32" t="n"/>
      <c r="C43" s="32" t="n"/>
      <c r="D43" s="32" t="n"/>
      <c r="E43" s="32" t="n"/>
      <c r="F43" s="41" t="n"/>
      <c r="G43" s="40" t="n"/>
      <c r="H43" s="40" t="n"/>
      <c r="I43" s="52" t="n"/>
      <c r="J43" s="40" t="n"/>
      <c r="K43" s="32" t="n"/>
    </row>
    <row r="44">
      <c r="A44" s="35" t="n"/>
      <c r="B44" s="34" t="n"/>
      <c r="C44" s="34" t="n"/>
      <c r="D44" s="34" t="n"/>
      <c r="E44" s="34" t="n"/>
      <c r="F44" s="39" t="n"/>
      <c r="G44" s="38" t="n"/>
      <c r="H44" s="38" t="n"/>
      <c r="I44" s="51" t="n"/>
      <c r="J44" s="38" t="n"/>
      <c r="K44" s="34" t="n"/>
    </row>
    <row r="45">
      <c r="A45" s="33" t="n"/>
      <c r="B45" s="32" t="n"/>
      <c r="C45" s="32" t="n"/>
      <c r="D45" s="32" t="n"/>
      <c r="E45" s="32" t="n"/>
      <c r="F45" s="41" t="n"/>
      <c r="G45" s="40" t="n"/>
      <c r="H45" s="40" t="n"/>
      <c r="I45" s="52" t="n"/>
      <c r="J45" s="40" t="n"/>
      <c r="K45" s="32" t="n"/>
    </row>
    <row r="46">
      <c r="A46" s="35" t="n"/>
      <c r="B46" s="34" t="n"/>
      <c r="C46" s="34" t="n"/>
      <c r="D46" s="34" t="n"/>
      <c r="E46" s="34" t="n"/>
      <c r="F46" s="39" t="n"/>
      <c r="G46" s="38" t="n"/>
      <c r="H46" s="38" t="n"/>
      <c r="I46" s="51" t="n"/>
      <c r="J46" s="38" t="n"/>
      <c r="K46" s="34" t="n"/>
    </row>
    <row r="47">
      <c r="A47" s="33" t="n"/>
      <c r="B47" s="32" t="n"/>
      <c r="C47" s="32" t="n"/>
      <c r="D47" s="32" t="n"/>
      <c r="E47" s="32" t="n"/>
      <c r="F47" s="41" t="n"/>
      <c r="G47" s="40" t="n"/>
      <c r="H47" s="40" t="n"/>
      <c r="I47" s="52" t="n"/>
      <c r="J47" s="40" t="n"/>
      <c r="K47" s="32" t="n"/>
    </row>
    <row r="48">
      <c r="A48" s="35" t="n"/>
      <c r="B48" s="34" t="n"/>
      <c r="C48" s="34" t="n"/>
      <c r="D48" s="34" t="n"/>
      <c r="E48" s="34" t="n"/>
      <c r="F48" s="39" t="n"/>
      <c r="G48" s="38" t="n"/>
      <c r="H48" s="38" t="n"/>
      <c r="I48" s="51" t="n"/>
      <c r="J48" s="38" t="n"/>
      <c r="K48" s="34" t="n"/>
    </row>
    <row r="49">
      <c r="A49" s="33" t="n"/>
      <c r="B49" s="32" t="n"/>
      <c r="C49" s="32" t="n"/>
      <c r="D49" s="32" t="n"/>
      <c r="E49" s="32" t="n"/>
      <c r="F49" s="41" t="n"/>
      <c r="G49" s="40" t="n"/>
      <c r="H49" s="40" t="n"/>
      <c r="I49" s="52" t="n"/>
      <c r="J49" s="40" t="n"/>
      <c r="K49" s="32" t="n"/>
    </row>
    <row r="50">
      <c r="A50" s="35" t="n"/>
      <c r="B50" s="34" t="n"/>
      <c r="C50" s="34" t="n"/>
      <c r="D50" s="34" t="n"/>
      <c r="E50" s="34" t="n"/>
      <c r="F50" s="39" t="n"/>
      <c r="G50" s="38" t="n"/>
      <c r="H50" s="38" t="n"/>
      <c r="I50" s="51" t="n"/>
      <c r="J50" s="38" t="n"/>
      <c r="K50" s="34" t="n"/>
    </row>
    <row r="51">
      <c r="A51" s="33" t="n"/>
      <c r="B51" s="32" t="n"/>
      <c r="C51" s="32" t="n"/>
      <c r="D51" s="32" t="n"/>
      <c r="E51" s="32" t="n"/>
      <c r="F51" s="41" t="n"/>
      <c r="G51" s="40" t="n"/>
      <c r="H51" s="40" t="n"/>
      <c r="I51" s="52" t="n"/>
      <c r="J51" s="40" t="n"/>
      <c r="K51" s="32" t="n"/>
    </row>
    <row r="52">
      <c r="A52" s="35" t="n"/>
      <c r="B52" s="34" t="n"/>
      <c r="C52" s="34" t="n"/>
      <c r="D52" s="34" t="n"/>
      <c r="E52" s="34" t="n"/>
      <c r="F52" s="39" t="n"/>
      <c r="G52" s="38" t="n"/>
      <c r="H52" s="38" t="n"/>
      <c r="I52" s="51" t="n"/>
      <c r="J52" s="38" t="n"/>
      <c r="K52" s="34" t="n"/>
    </row>
    <row r="53">
      <c r="A53" s="33" t="n"/>
      <c r="B53" s="32" t="n"/>
      <c r="C53" s="32" t="n"/>
      <c r="D53" s="32" t="n"/>
      <c r="E53" s="32" t="n"/>
      <c r="F53" s="41" t="n"/>
      <c r="G53" s="40" t="n"/>
      <c r="H53" s="40" t="n"/>
      <c r="I53" s="52" t="n"/>
      <c r="J53" s="40" t="n"/>
      <c r="K53" s="32" t="n"/>
    </row>
    <row r="54">
      <c r="A54" s="35" t="n"/>
      <c r="B54" s="34" t="n"/>
      <c r="C54" s="34" t="n"/>
      <c r="D54" s="34" t="n"/>
      <c r="E54" s="34" t="n"/>
      <c r="F54" s="39" t="n"/>
      <c r="G54" s="38" t="n"/>
      <c r="H54" s="38" t="n"/>
      <c r="I54" s="51" t="n"/>
      <c r="J54" s="38" t="n"/>
      <c r="K54" s="34" t="n"/>
    </row>
    <row r="55">
      <c r="A55" s="33" t="n"/>
      <c r="B55" s="32" t="n"/>
      <c r="C55" s="32" t="n"/>
      <c r="D55" s="32" t="n"/>
      <c r="E55" s="32" t="n"/>
      <c r="F55" s="41" t="n"/>
      <c r="G55" s="40" t="n"/>
      <c r="H55" s="40" t="n"/>
      <c r="I55" s="52" t="n"/>
      <c r="J55" s="40" t="n"/>
      <c r="K55" s="32" t="n"/>
    </row>
    <row r="56">
      <c r="A56" s="35" t="n"/>
      <c r="B56" s="34" t="n"/>
      <c r="C56" s="34" t="n"/>
      <c r="D56" s="34" t="n"/>
      <c r="E56" s="34" t="n"/>
      <c r="F56" s="39" t="n"/>
      <c r="G56" s="38" t="n"/>
      <c r="H56" s="38" t="n"/>
      <c r="I56" s="51" t="n"/>
      <c r="J56" s="38" t="n"/>
      <c r="K56" s="34" t="n"/>
    </row>
    <row r="57">
      <c r="A57" s="33" t="n"/>
      <c r="B57" s="32" t="n"/>
      <c r="C57" s="32" t="n"/>
      <c r="D57" s="32" t="n"/>
      <c r="E57" s="32" t="n"/>
      <c r="F57" s="41" t="n"/>
      <c r="G57" s="40" t="n"/>
      <c r="H57" s="40" t="n"/>
      <c r="I57" s="52" t="n"/>
      <c r="J57" s="40" t="n"/>
      <c r="K57" s="32" t="n"/>
    </row>
    <row r="58">
      <c r="A58" s="35" t="n"/>
      <c r="B58" s="34" t="n"/>
      <c r="C58" s="34" t="n"/>
      <c r="D58" s="34" t="n"/>
      <c r="E58" s="34" t="n"/>
      <c r="F58" s="39" t="n"/>
      <c r="G58" s="38" t="n"/>
      <c r="H58" s="38" t="n"/>
      <c r="I58" s="51" t="n"/>
      <c r="J58" s="38" t="n"/>
      <c r="K58" s="34" t="n"/>
    </row>
    <row r="59">
      <c r="A59" s="33" t="n"/>
      <c r="B59" s="32" t="n"/>
      <c r="C59" s="32" t="n"/>
      <c r="D59" s="32" t="n"/>
      <c r="E59" s="32" t="n"/>
      <c r="F59" s="41" t="n"/>
      <c r="G59" s="40" t="n"/>
      <c r="H59" s="40" t="n"/>
      <c r="I59" s="52" t="n"/>
      <c r="J59" s="40" t="n"/>
      <c r="K59" s="32" t="n"/>
    </row>
    <row r="60">
      <c r="A60" s="35" t="n"/>
      <c r="B60" s="34" t="n"/>
      <c r="C60" s="34" t="n"/>
      <c r="D60" s="34" t="n"/>
      <c r="E60" s="34" t="n"/>
      <c r="F60" s="39" t="n"/>
      <c r="G60" s="38" t="n"/>
      <c r="H60" s="38" t="n"/>
      <c r="I60" s="51" t="n"/>
      <c r="J60" s="38" t="n"/>
      <c r="K60" s="34" t="n"/>
    </row>
    <row r="61">
      <c r="A61" s="33" t="n"/>
      <c r="B61" s="32" t="n"/>
      <c r="C61" s="32" t="n"/>
      <c r="D61" s="32" t="n"/>
      <c r="E61" s="32" t="n"/>
      <c r="F61" s="41" t="n"/>
      <c r="G61" s="40" t="n"/>
      <c r="H61" s="40" t="n"/>
      <c r="I61" s="52" t="n"/>
      <c r="J61" s="40" t="n"/>
      <c r="K61" s="32" t="n"/>
    </row>
    <row r="62">
      <c r="A62" s="35" t="n"/>
      <c r="B62" s="34" t="n"/>
      <c r="C62" s="34" t="n"/>
      <c r="D62" s="34" t="n"/>
      <c r="E62" s="34" t="n"/>
      <c r="F62" s="39" t="n"/>
      <c r="G62" s="38" t="n"/>
      <c r="H62" s="38" t="n"/>
      <c r="I62" s="51" t="n"/>
      <c r="J62" s="38" t="n"/>
      <c r="K62" s="34" t="n"/>
    </row>
    <row r="63">
      <c r="A63" s="33" t="n"/>
      <c r="B63" s="32" t="n"/>
      <c r="C63" s="32" t="n"/>
      <c r="D63" s="32" t="n"/>
      <c r="E63" s="32" t="n"/>
      <c r="F63" s="41" t="n"/>
      <c r="G63" s="40" t="n"/>
      <c r="H63" s="40" t="n"/>
      <c r="I63" s="52" t="n"/>
      <c r="J63" s="40" t="n"/>
      <c r="K63" s="32" t="n"/>
    </row>
    <row r="64">
      <c r="A64" s="35" t="n"/>
      <c r="B64" s="34" t="n"/>
      <c r="C64" s="34" t="n"/>
      <c r="D64" s="34" t="n"/>
      <c r="E64" s="34" t="n"/>
      <c r="F64" s="39" t="n"/>
      <c r="G64" s="38" t="n"/>
      <c r="H64" s="38" t="n"/>
      <c r="I64" s="51" t="n"/>
      <c r="J64" s="38" t="n"/>
      <c r="K64" s="34" t="n"/>
    </row>
    <row r="65">
      <c r="A65" s="33" t="n"/>
      <c r="B65" s="32" t="n"/>
      <c r="C65" s="32" t="n"/>
      <c r="D65" s="32" t="n"/>
      <c r="E65" s="32" t="n"/>
      <c r="F65" s="41" t="n"/>
      <c r="G65" s="40" t="n"/>
      <c r="H65" s="40" t="n"/>
      <c r="I65" s="52" t="n"/>
      <c r="J65" s="40" t="n"/>
      <c r="K65" s="32" t="n"/>
    </row>
    <row r="66">
      <c r="A66" s="35" t="n"/>
      <c r="B66" s="34" t="n"/>
      <c r="C66" s="34" t="n"/>
      <c r="D66" s="34" t="n"/>
      <c r="E66" s="34" t="n"/>
      <c r="F66" s="39" t="n"/>
      <c r="G66" s="38" t="n"/>
      <c r="H66" s="38" t="n"/>
      <c r="I66" s="51" t="n"/>
      <c r="J66" s="38" t="n"/>
      <c r="K66" s="34" t="n"/>
    </row>
    <row r="67">
      <c r="A67" s="33" t="n"/>
      <c r="B67" s="32" t="n"/>
      <c r="C67" s="32" t="n"/>
      <c r="D67" s="32" t="n"/>
      <c r="E67" s="32" t="n"/>
      <c r="F67" s="41" t="n"/>
      <c r="G67" s="40" t="n"/>
      <c r="H67" s="40" t="n"/>
      <c r="I67" s="52" t="n"/>
      <c r="J67" s="40" t="n"/>
      <c r="K67" s="32" t="n"/>
    </row>
    <row r="68">
      <c r="A68" s="35" t="n"/>
      <c r="B68" s="34" t="n"/>
      <c r="C68" s="34" t="n"/>
      <c r="D68" s="34" t="n"/>
      <c r="E68" s="34" t="n"/>
      <c r="F68" s="39" t="n"/>
      <c r="G68" s="38" t="n"/>
      <c r="H68" s="38" t="n"/>
      <c r="I68" s="51" t="n"/>
      <c r="J68" s="38" t="n"/>
      <c r="K68" s="34" t="n"/>
    </row>
    <row r="69">
      <c r="A69" s="33" t="n"/>
      <c r="B69" s="32" t="n"/>
      <c r="C69" s="32" t="n"/>
      <c r="D69" s="32" t="n"/>
      <c r="E69" s="32" t="n"/>
      <c r="F69" s="41" t="n"/>
      <c r="G69" s="40" t="n"/>
      <c r="H69" s="40" t="n"/>
      <c r="I69" s="52" t="n"/>
      <c r="J69" s="40" t="n"/>
      <c r="K69" s="32" t="n"/>
    </row>
    <row r="70">
      <c r="A70" s="35" t="n"/>
      <c r="B70" s="34" t="n"/>
      <c r="C70" s="34" t="n"/>
      <c r="D70" s="34" t="n"/>
      <c r="E70" s="34" t="n"/>
      <c r="F70" s="39" t="n"/>
      <c r="G70" s="38" t="n"/>
      <c r="H70" s="38" t="n"/>
      <c r="I70" s="51" t="n"/>
      <c r="J70" s="38" t="n"/>
      <c r="K70" s="34" t="n"/>
    </row>
    <row r="71">
      <c r="A71" s="33" t="n"/>
      <c r="B71" s="32" t="n"/>
      <c r="C71" s="32" t="n"/>
      <c r="D71" s="32" t="n"/>
      <c r="E71" s="32" t="n"/>
      <c r="F71" s="41" t="n"/>
      <c r="G71" s="40" t="n"/>
      <c r="H71" s="40" t="n"/>
      <c r="I71" s="52" t="n"/>
      <c r="J71" s="40" t="n"/>
      <c r="K71" s="32" t="n"/>
    </row>
    <row r="72">
      <c r="A72" s="35" t="n"/>
      <c r="B72" s="34" t="n"/>
      <c r="C72" s="34" t="n"/>
      <c r="D72" s="34" t="n"/>
      <c r="E72" s="34" t="n"/>
      <c r="F72" s="39" t="n"/>
      <c r="G72" s="38" t="n"/>
      <c r="H72" s="38" t="n"/>
      <c r="I72" s="51" t="n"/>
      <c r="J72" s="38" t="n"/>
      <c r="K72" s="34" t="n"/>
    </row>
    <row r="73">
      <c r="A73" s="33" t="n"/>
      <c r="B73" s="32" t="n"/>
      <c r="C73" s="32" t="n"/>
      <c r="D73" s="32" t="n"/>
      <c r="E73" s="32" t="n"/>
      <c r="F73" s="41" t="n"/>
      <c r="G73" s="40" t="n"/>
      <c r="H73" s="40" t="n"/>
      <c r="I73" s="52" t="n"/>
      <c r="J73" s="40" t="n"/>
      <c r="K73" s="32" t="n"/>
    </row>
    <row r="74">
      <c r="A74" s="35" t="n"/>
      <c r="B74" s="34" t="n"/>
      <c r="C74" s="34" t="n"/>
      <c r="D74" s="34" t="n"/>
      <c r="E74" s="34" t="n"/>
      <c r="F74" s="39" t="n"/>
      <c r="G74" s="38" t="n"/>
      <c r="H74" s="38" t="n"/>
      <c r="I74" s="51" t="n"/>
      <c r="J74" s="38" t="n"/>
      <c r="K74" s="34" t="n"/>
    </row>
    <row r="75">
      <c r="A75" s="33" t="n"/>
      <c r="B75" s="32" t="n"/>
      <c r="C75" s="32" t="n"/>
      <c r="D75" s="32" t="n"/>
      <c r="E75" s="32" t="n"/>
      <c r="F75" s="41" t="n"/>
      <c r="G75" s="40" t="n"/>
      <c r="H75" s="40" t="n"/>
      <c r="I75" s="52" t="n"/>
      <c r="J75" s="40" t="n"/>
      <c r="K75" s="32" t="n"/>
    </row>
    <row r="76">
      <c r="A76" s="35" t="n"/>
      <c r="B76" s="34" t="n"/>
      <c r="C76" s="34" t="n"/>
      <c r="D76" s="34" t="n"/>
      <c r="E76" s="34" t="n"/>
      <c r="F76" s="39" t="n"/>
      <c r="G76" s="38" t="n"/>
      <c r="H76" s="38" t="n"/>
      <c r="I76" s="51" t="n"/>
      <c r="J76" s="38" t="n"/>
      <c r="K76" s="34" t="n"/>
    </row>
    <row r="77">
      <c r="A77" s="33" t="n"/>
      <c r="B77" s="32" t="n"/>
      <c r="C77" s="32" t="n"/>
      <c r="D77" s="32" t="n"/>
      <c r="E77" s="32" t="n"/>
      <c r="F77" s="41" t="n"/>
      <c r="G77" s="40" t="n"/>
      <c r="H77" s="40" t="n"/>
      <c r="I77" s="52" t="n"/>
      <c r="J77" s="40" t="n"/>
      <c r="K77" s="32" t="n"/>
    </row>
    <row r="78">
      <c r="A78" s="35" t="n"/>
      <c r="B78" s="34" t="n"/>
      <c r="C78" s="34" t="n"/>
      <c r="D78" s="34" t="n"/>
      <c r="E78" s="34" t="n"/>
      <c r="F78" s="39" t="n"/>
      <c r="G78" s="38" t="n"/>
      <c r="H78" s="38" t="n"/>
      <c r="I78" s="51" t="n"/>
      <c r="J78" s="38" t="n"/>
      <c r="K78" s="34" t="n"/>
    </row>
    <row r="79">
      <c r="A79" s="33" t="n"/>
      <c r="B79" s="32" t="n"/>
      <c r="C79" s="32" t="n"/>
      <c r="D79" s="32" t="n"/>
      <c r="E79" s="32" t="n"/>
      <c r="F79" s="41" t="n"/>
      <c r="G79" s="40" t="n"/>
      <c r="H79" s="40" t="n"/>
      <c r="I79" s="52" t="n"/>
      <c r="J79" s="40" t="n"/>
      <c r="K79" s="32" t="n"/>
    </row>
    <row r="80">
      <c r="A80" s="35" t="n"/>
      <c r="B80" s="34" t="n"/>
      <c r="C80" s="34" t="n"/>
      <c r="D80" s="34" t="n"/>
      <c r="E80" s="34" t="n"/>
      <c r="F80" s="39" t="n"/>
      <c r="G80" s="38" t="n"/>
      <c r="H80" s="38" t="n"/>
      <c r="I80" s="51" t="n"/>
      <c r="J80" s="38" t="n"/>
      <c r="K80" s="34" t="n"/>
    </row>
    <row r="81">
      <c r="A81" s="33" t="n"/>
      <c r="B81" s="32" t="n"/>
      <c r="C81" s="32" t="n"/>
      <c r="D81" s="32" t="n"/>
      <c r="E81" s="32" t="n"/>
      <c r="F81" s="41" t="n"/>
      <c r="G81" s="40" t="n"/>
      <c r="H81" s="40" t="n"/>
      <c r="I81" s="52" t="n"/>
      <c r="J81" s="40" t="n"/>
      <c r="K81" s="32" t="n"/>
    </row>
    <row r="82">
      <c r="A82" s="35" t="n"/>
      <c r="B82" s="34" t="n"/>
      <c r="C82" s="34" t="n"/>
      <c r="D82" s="34" t="n"/>
      <c r="E82" s="34" t="n"/>
      <c r="F82" s="39" t="n"/>
      <c r="G82" s="38" t="n"/>
      <c r="H82" s="38" t="n"/>
      <c r="I82" s="51" t="n"/>
      <c r="J82" s="38" t="n"/>
      <c r="K82" s="34" t="n"/>
    </row>
    <row r="83">
      <c r="A83" s="33" t="n"/>
      <c r="B83" s="32" t="n"/>
      <c r="C83" s="32" t="n"/>
      <c r="D83" s="32" t="n"/>
      <c r="E83" s="32" t="n"/>
      <c r="F83" s="41" t="n"/>
      <c r="G83" s="40" t="n"/>
      <c r="H83" s="40" t="n"/>
      <c r="I83" s="52" t="n"/>
      <c r="J83" s="40" t="n"/>
      <c r="K83" s="32" t="n"/>
    </row>
    <row r="84">
      <c r="A84" s="35" t="n"/>
      <c r="B84" s="34" t="n"/>
      <c r="C84" s="34" t="n"/>
      <c r="D84" s="34" t="n"/>
      <c r="E84" s="34" t="n"/>
      <c r="F84" s="39" t="n"/>
      <c r="G84" s="38" t="n"/>
      <c r="H84" s="38" t="n"/>
      <c r="I84" s="51" t="n"/>
      <c r="J84" s="38" t="n"/>
      <c r="K84" s="34" t="n"/>
    </row>
    <row r="85">
      <c r="A85" s="33" t="n"/>
      <c r="B85" s="32" t="n"/>
      <c r="C85" s="32" t="n"/>
      <c r="D85" s="32" t="n"/>
      <c r="E85" s="32" t="n"/>
      <c r="F85" s="41" t="n"/>
      <c r="G85" s="40" t="n"/>
      <c r="H85" s="40" t="n"/>
      <c r="I85" s="52" t="n"/>
      <c r="J85" s="40" t="n"/>
      <c r="K85" s="32" t="n"/>
    </row>
    <row r="86">
      <c r="A86" s="35" t="n"/>
      <c r="B86" s="34" t="n"/>
      <c r="C86" s="34" t="n"/>
      <c r="D86" s="34" t="n"/>
      <c r="E86" s="34" t="n"/>
      <c r="F86" s="39" t="n"/>
      <c r="G86" s="38" t="n"/>
      <c r="H86" s="38" t="n"/>
      <c r="I86" s="51" t="n"/>
      <c r="J86" s="38" t="n"/>
      <c r="K86" s="34" t="n"/>
    </row>
    <row r="87">
      <c r="A87" s="33" t="n"/>
      <c r="B87" s="32" t="n"/>
      <c r="C87" s="32" t="n"/>
      <c r="D87" s="32" t="n"/>
      <c r="E87" s="32" t="n"/>
      <c r="F87" s="41" t="n"/>
      <c r="G87" s="40" t="n"/>
      <c r="H87" s="40" t="n"/>
      <c r="I87" s="52" t="n"/>
      <c r="J87" s="40" t="n"/>
      <c r="K87" s="32" t="n"/>
    </row>
    <row r="88">
      <c r="A88" s="35" t="n"/>
      <c r="B88" s="34" t="n"/>
      <c r="C88" s="34" t="n"/>
      <c r="D88" s="34" t="n"/>
      <c r="E88" s="34" t="n"/>
      <c r="F88" s="39" t="n"/>
      <c r="G88" s="38" t="n"/>
      <c r="H88" s="38" t="n"/>
      <c r="I88" s="51" t="n"/>
      <c r="J88" s="38" t="n"/>
      <c r="K88" s="34" t="n"/>
    </row>
    <row r="89">
      <c r="A89" s="33" t="n"/>
      <c r="B89" s="32" t="n"/>
      <c r="C89" s="32" t="n"/>
      <c r="D89" s="32" t="n"/>
      <c r="E89" s="32" t="n"/>
      <c r="F89" s="41" t="n"/>
      <c r="G89" s="40" t="n"/>
      <c r="H89" s="40" t="n"/>
      <c r="I89" s="52" t="n"/>
      <c r="J89" s="40" t="n"/>
      <c r="K89" s="32" t="n"/>
    </row>
    <row r="90">
      <c r="A90" s="35" t="n"/>
      <c r="B90" s="34" t="n"/>
      <c r="C90" s="34" t="n"/>
      <c r="D90" s="34" t="n"/>
      <c r="E90" s="34" t="n"/>
      <c r="F90" s="39" t="n"/>
      <c r="G90" s="38" t="n"/>
      <c r="H90" s="38" t="n"/>
      <c r="I90" s="51" t="n"/>
      <c r="J90" s="38" t="n"/>
      <c r="K90" s="34" t="n"/>
    </row>
    <row r="91">
      <c r="A91" s="33" t="n"/>
      <c r="B91" s="32" t="n"/>
      <c r="C91" s="32" t="n"/>
      <c r="D91" s="32" t="n"/>
      <c r="E91" s="32" t="n"/>
      <c r="F91" s="41" t="n"/>
      <c r="G91" s="40" t="n"/>
      <c r="H91" s="40" t="n"/>
      <c r="I91" s="52" t="n"/>
      <c r="J91" s="40" t="n"/>
      <c r="K91" s="32" t="n"/>
    </row>
    <row r="92">
      <c r="A92" s="35" t="n"/>
      <c r="B92" s="34" t="n"/>
      <c r="C92" s="34" t="n"/>
      <c r="D92" s="34" t="n"/>
      <c r="E92" s="34" t="n"/>
      <c r="F92" s="39" t="n"/>
      <c r="G92" s="38" t="n"/>
      <c r="H92" s="38" t="n"/>
      <c r="I92" s="51" t="n"/>
      <c r="J92" s="38" t="n"/>
      <c r="K92" s="34" t="n"/>
    </row>
    <row r="93">
      <c r="A93" s="33" t="n"/>
      <c r="B93" s="32" t="n"/>
      <c r="C93" s="32" t="n"/>
      <c r="D93" s="32" t="n"/>
      <c r="E93" s="32" t="n"/>
      <c r="F93" s="41" t="n"/>
      <c r="G93" s="40" t="n"/>
      <c r="H93" s="40" t="n"/>
      <c r="I93" s="52" t="n"/>
      <c r="J93" s="40" t="n"/>
      <c r="K93" s="32" t="n"/>
    </row>
    <row r="94">
      <c r="A94" s="35" t="n"/>
      <c r="B94" s="34" t="n"/>
      <c r="C94" s="34" t="n"/>
      <c r="D94" s="34" t="n"/>
      <c r="E94" s="34" t="n"/>
      <c r="F94" s="39" t="n"/>
      <c r="G94" s="38" t="n"/>
      <c r="H94" s="38" t="n"/>
      <c r="I94" s="51" t="n"/>
      <c r="J94" s="38" t="n"/>
      <c r="K94" s="34" t="n"/>
    </row>
    <row r="95">
      <c r="A95" s="33" t="n"/>
      <c r="B95" s="32" t="n"/>
      <c r="C95" s="32" t="n"/>
      <c r="D95" s="32" t="n"/>
      <c r="E95" s="32" t="n"/>
      <c r="F95" s="41" t="n"/>
      <c r="G95" s="40" t="n"/>
      <c r="H95" s="40" t="n"/>
      <c r="I95" s="52" t="n"/>
      <c r="J95" s="40" t="n"/>
      <c r="K95" s="32" t="n"/>
    </row>
    <row r="96">
      <c r="A96" s="35" t="n"/>
      <c r="B96" s="34" t="n"/>
      <c r="C96" s="34" t="n"/>
      <c r="D96" s="34" t="n"/>
      <c r="E96" s="34" t="n"/>
      <c r="F96" s="39" t="n"/>
      <c r="G96" s="38" t="n"/>
      <c r="H96" s="38" t="n"/>
      <c r="I96" s="51" t="n"/>
      <c r="J96" s="38" t="n"/>
      <c r="K96" s="34" t="n"/>
    </row>
    <row r="97">
      <c r="A97" s="33" t="n"/>
      <c r="B97" s="32" t="n"/>
      <c r="C97" s="32" t="n"/>
      <c r="D97" s="32" t="n"/>
      <c r="E97" s="32" t="n"/>
      <c r="F97" s="41" t="n"/>
      <c r="G97" s="40" t="n"/>
      <c r="H97" s="40" t="n"/>
      <c r="I97" s="52" t="n"/>
      <c r="J97" s="40" t="n"/>
      <c r="K97" s="32" t="n"/>
    </row>
    <row r="98">
      <c r="A98" s="35" t="n"/>
      <c r="B98" s="34" t="n"/>
      <c r="C98" s="34" t="n"/>
      <c r="D98" s="34" t="n"/>
      <c r="E98" s="34" t="n"/>
      <c r="F98" s="39" t="n"/>
      <c r="G98" s="38" t="n"/>
      <c r="H98" s="38" t="n"/>
      <c r="I98" s="51" t="n"/>
      <c r="J98" s="38" t="n"/>
      <c r="K98" s="34" t="n"/>
    </row>
    <row r="99">
      <c r="A99" s="33" t="n"/>
      <c r="B99" s="32" t="n"/>
      <c r="C99" s="32" t="n"/>
      <c r="D99" s="32" t="n"/>
      <c r="E99" s="32" t="n"/>
      <c r="F99" s="41" t="n"/>
      <c r="G99" s="40" t="n"/>
      <c r="H99" s="40" t="n"/>
      <c r="I99" s="52" t="n"/>
      <c r="J99" s="40" t="n"/>
      <c r="K99" s="32" t="n"/>
    </row>
    <row r="100">
      <c r="A100" s="35" t="n"/>
      <c r="B100" s="34" t="n"/>
      <c r="C100" s="34" t="n"/>
      <c r="D100" s="34" t="n"/>
      <c r="E100" s="34" t="n"/>
      <c r="F100" s="39" t="n"/>
      <c r="G100" s="38" t="n"/>
      <c r="H100" s="38" t="n"/>
      <c r="I100" s="51" t="n"/>
      <c r="J100" s="38" t="n"/>
      <c r="K100" s="34" t="n"/>
    </row>
    <row r="101">
      <c r="A101" s="33" t="n"/>
      <c r="B101" s="32" t="n"/>
      <c r="C101" s="32" t="n"/>
      <c r="D101" s="32" t="n"/>
      <c r="E101" s="32" t="n"/>
      <c r="F101" s="41" t="n"/>
      <c r="G101" s="40" t="n"/>
      <c r="H101" s="40" t="n"/>
      <c r="I101" s="52" t="n"/>
      <c r="J101" s="40" t="n"/>
      <c r="K101" s="32" t="n"/>
    </row>
    <row r="102">
      <c r="A102" s="35" t="n"/>
      <c r="B102" s="34" t="n"/>
      <c r="C102" s="34" t="n"/>
      <c r="D102" s="34" t="n"/>
      <c r="E102" s="34" t="n"/>
      <c r="F102" s="39" t="n"/>
      <c r="G102" s="38" t="n"/>
      <c r="H102" s="38" t="n"/>
      <c r="I102" s="51" t="n"/>
      <c r="J102" s="38" t="n"/>
      <c r="K102" s="34" t="n"/>
    </row>
    <row r="103">
      <c r="A103" s="33" t="n"/>
      <c r="B103" s="32" t="n"/>
      <c r="C103" s="32" t="n"/>
      <c r="D103" s="32" t="n"/>
      <c r="E103" s="32" t="n"/>
      <c r="F103" s="41" t="n"/>
      <c r="G103" s="40" t="n"/>
      <c r="H103" s="40" t="n"/>
      <c r="I103" s="52" t="n"/>
      <c r="J103" s="40" t="n"/>
      <c r="K103" s="32" t="n"/>
    </row>
    <row r="104">
      <c r="A104" s="35" t="n"/>
      <c r="B104" s="34" t="n"/>
      <c r="C104" s="34" t="n"/>
      <c r="D104" s="34" t="n"/>
      <c r="E104" s="34" t="n"/>
      <c r="F104" s="39" t="n"/>
      <c r="G104" s="38" t="n"/>
      <c r="H104" s="38" t="n"/>
      <c r="I104" s="51" t="n"/>
      <c r="J104" s="38" t="n"/>
      <c r="K104" s="34" t="n"/>
    </row>
    <row r="105">
      <c r="A105" s="33" t="n"/>
      <c r="B105" s="32" t="n"/>
      <c r="C105" s="32" t="n"/>
      <c r="D105" s="32" t="n"/>
      <c r="E105" s="32" t="n"/>
      <c r="F105" s="41" t="n"/>
      <c r="G105" s="40" t="n"/>
      <c r="H105" s="40" t="n"/>
      <c r="I105" s="52" t="n"/>
      <c r="J105" s="40" t="n"/>
      <c r="K105" s="32" t="n"/>
    </row>
    <row r="106">
      <c r="A106" s="35" t="n"/>
      <c r="B106" s="34" t="n"/>
      <c r="C106" s="34" t="n"/>
      <c r="D106" s="34" t="n"/>
      <c r="E106" s="34" t="n"/>
      <c r="F106" s="39" t="n"/>
      <c r="G106" s="38" t="n"/>
      <c r="H106" s="38" t="n"/>
      <c r="I106" s="51" t="n"/>
      <c r="J106" s="38" t="n"/>
      <c r="K106" s="34" t="n"/>
    </row>
    <row r="107">
      <c r="A107" s="33" t="n"/>
      <c r="B107" s="32" t="n"/>
      <c r="C107" s="32" t="n"/>
      <c r="D107" s="32" t="n"/>
      <c r="E107" s="32" t="n"/>
      <c r="F107" s="41" t="n"/>
      <c r="G107" s="40" t="n"/>
      <c r="H107" s="40" t="n"/>
      <c r="I107" s="52" t="n"/>
      <c r="J107" s="40" t="n"/>
      <c r="K107" s="32" t="n"/>
    </row>
    <row r="108">
      <c r="A108" s="35" t="n"/>
      <c r="B108" s="34" t="n"/>
      <c r="C108" s="34" t="n"/>
      <c r="D108" s="34" t="n"/>
      <c r="E108" s="34" t="n"/>
      <c r="F108" s="39" t="n"/>
      <c r="G108" s="38" t="n"/>
      <c r="H108" s="38" t="n"/>
      <c r="I108" s="51" t="n"/>
      <c r="J108" s="38" t="n"/>
      <c r="K108" s="34" t="n"/>
    </row>
    <row r="109">
      <c r="A109" s="33" t="n"/>
      <c r="B109" s="32" t="n"/>
      <c r="C109" s="32" t="n"/>
      <c r="D109" s="32" t="n"/>
      <c r="E109" s="32" t="n"/>
      <c r="F109" s="41" t="n"/>
      <c r="G109" s="40" t="n"/>
      <c r="H109" s="40" t="n"/>
      <c r="I109" s="52" t="n"/>
      <c r="J109" s="40" t="n"/>
      <c r="K109" s="32" t="n"/>
    </row>
    <row r="110">
      <c r="A110" s="35" t="n"/>
      <c r="B110" s="34" t="n"/>
      <c r="C110" s="34" t="n"/>
      <c r="D110" s="34" t="n"/>
      <c r="E110" s="34" t="n"/>
      <c r="F110" s="39" t="n"/>
      <c r="G110" s="38" t="n"/>
      <c r="H110" s="38" t="n"/>
      <c r="I110" s="51" t="n"/>
      <c r="J110" s="38" t="n"/>
      <c r="K110" s="34" t="n"/>
    </row>
    <row r="111">
      <c r="A111" s="33" t="n"/>
      <c r="B111" s="32" t="n"/>
      <c r="C111" s="32" t="n"/>
      <c r="D111" s="32" t="n"/>
      <c r="E111" s="32" t="n"/>
      <c r="F111" s="41" t="n"/>
      <c r="G111" s="40" t="n"/>
      <c r="H111" s="40" t="n"/>
      <c r="I111" s="52" t="n"/>
      <c r="J111" s="40" t="n"/>
      <c r="K111" s="32" t="n"/>
    </row>
    <row r="112">
      <c r="A112" s="35" t="n"/>
      <c r="B112" s="34" t="n"/>
      <c r="C112" s="34" t="n"/>
      <c r="D112" s="34" t="n"/>
      <c r="E112" s="34" t="n"/>
      <c r="F112" s="39" t="n"/>
      <c r="G112" s="38" t="n"/>
      <c r="H112" s="38" t="n"/>
      <c r="I112" s="51" t="n"/>
      <c r="J112" s="38" t="n"/>
      <c r="K112" s="34" t="n"/>
    </row>
    <row r="113">
      <c r="A113" s="33" t="n"/>
      <c r="B113" s="32" t="n"/>
      <c r="C113" s="32" t="n"/>
      <c r="D113" s="32" t="n"/>
      <c r="E113" s="32" t="n"/>
      <c r="F113" s="41" t="n"/>
      <c r="G113" s="40" t="n"/>
      <c r="H113" s="40" t="n"/>
      <c r="I113" s="52" t="n"/>
      <c r="J113" s="40" t="n"/>
      <c r="K113" s="32" t="n"/>
    </row>
    <row r="114">
      <c r="A114" s="35" t="n"/>
      <c r="B114" s="34" t="n"/>
      <c r="C114" s="34" t="n"/>
      <c r="D114" s="34" t="n"/>
      <c r="E114" s="34" t="n"/>
      <c r="F114" s="39" t="n"/>
      <c r="G114" s="38" t="n"/>
      <c r="H114" s="38" t="n"/>
      <c r="I114" s="51" t="n"/>
      <c r="J114" s="38" t="n"/>
      <c r="K114" s="34" t="n"/>
    </row>
    <row r="115">
      <c r="A115" s="33" t="n"/>
      <c r="B115" s="32" t="n"/>
      <c r="C115" s="32" t="n"/>
      <c r="D115" s="32" t="n"/>
      <c r="E115" s="32" t="n"/>
      <c r="F115" s="41" t="n"/>
      <c r="G115" s="40" t="n"/>
      <c r="H115" s="40" t="n"/>
      <c r="I115" s="52" t="n"/>
      <c r="J115" s="40" t="n"/>
      <c r="K115" s="32" t="n"/>
    </row>
    <row r="116">
      <c r="A116" s="35" t="n"/>
      <c r="B116" s="34" t="n"/>
      <c r="C116" s="34" t="n"/>
      <c r="D116" s="34" t="n"/>
      <c r="E116" s="34" t="n"/>
      <c r="F116" s="39" t="n"/>
      <c r="G116" s="38" t="n"/>
      <c r="H116" s="38" t="n"/>
      <c r="I116" s="51" t="n"/>
      <c r="J116" s="38" t="n"/>
      <c r="K116" s="34" t="n"/>
    </row>
    <row r="117">
      <c r="A117" s="33" t="n"/>
      <c r="B117" s="32" t="n"/>
      <c r="C117" s="32" t="n"/>
      <c r="D117" s="32" t="n"/>
      <c r="E117" s="32" t="n"/>
      <c r="F117" s="41" t="n"/>
      <c r="G117" s="40" t="n"/>
      <c r="H117" s="40" t="n"/>
      <c r="I117" s="52" t="n"/>
      <c r="J117" s="40" t="n"/>
      <c r="K117" s="32" t="n"/>
    </row>
    <row r="118">
      <c r="A118" s="35" t="n"/>
      <c r="B118" s="34" t="n"/>
      <c r="C118" s="34" t="n"/>
      <c r="D118" s="34" t="n"/>
      <c r="E118" s="34" t="n"/>
      <c r="F118" s="39" t="n"/>
      <c r="G118" s="38" t="n"/>
      <c r="H118" s="38" t="n"/>
      <c r="I118" s="51" t="n"/>
      <c r="J118" s="38" t="n"/>
      <c r="K118" s="34" t="n"/>
    </row>
    <row r="119">
      <c r="A119" s="33" t="n"/>
      <c r="B119" s="32" t="n"/>
      <c r="C119" s="32" t="n"/>
      <c r="D119" s="32" t="n"/>
      <c r="E119" s="32" t="n"/>
      <c r="F119" s="41" t="n"/>
      <c r="G119" s="40" t="n"/>
      <c r="H119" s="40" t="n"/>
      <c r="I119" s="52" t="n"/>
      <c r="J119" s="40" t="n"/>
      <c r="K119" s="32" t="n"/>
    </row>
    <row r="120">
      <c r="A120" s="35" t="n"/>
      <c r="B120" s="34" t="n"/>
      <c r="C120" s="34" t="n"/>
      <c r="D120" s="34" t="n"/>
      <c r="E120" s="34" t="n"/>
      <c r="F120" s="39" t="n"/>
      <c r="G120" s="38" t="n"/>
      <c r="H120" s="38" t="n"/>
      <c r="I120" s="51" t="n"/>
      <c r="J120" s="38" t="n"/>
      <c r="K120" s="34" t="n"/>
    </row>
    <row r="121">
      <c r="A121" s="33" t="n"/>
      <c r="B121" s="32" t="n"/>
      <c r="C121" s="32" t="n"/>
      <c r="D121" s="32" t="n"/>
      <c r="E121" s="32" t="n"/>
      <c r="F121" s="41" t="n"/>
      <c r="G121" s="40" t="n"/>
      <c r="H121" s="40" t="n"/>
      <c r="I121" s="52" t="n"/>
      <c r="J121" s="40" t="n"/>
      <c r="K121" s="32" t="n"/>
    </row>
    <row r="122">
      <c r="A122" s="35" t="n"/>
      <c r="B122" s="34" t="n"/>
      <c r="C122" s="34" t="n"/>
      <c r="D122" s="34" t="n"/>
      <c r="E122" s="34" t="n"/>
      <c r="F122" s="39" t="n"/>
      <c r="G122" s="38" t="n"/>
      <c r="H122" s="38" t="n"/>
      <c r="I122" s="51" t="n"/>
      <c r="J122" s="38" t="n"/>
      <c r="K122" s="34" t="n"/>
    </row>
    <row r="123">
      <c r="A123" s="33" t="n"/>
      <c r="B123" s="32" t="n"/>
      <c r="C123" s="32" t="n"/>
      <c r="D123" s="32" t="n"/>
      <c r="E123" s="32" t="n"/>
      <c r="F123" s="41" t="n"/>
      <c r="G123" s="40" t="n"/>
      <c r="H123" s="40" t="n"/>
      <c r="I123" s="52" t="n"/>
      <c r="J123" s="40" t="n"/>
      <c r="K123" s="32" t="n"/>
    </row>
    <row r="124">
      <c r="A124" s="35" t="n"/>
      <c r="B124" s="34" t="n"/>
      <c r="C124" s="34" t="n"/>
      <c r="D124" s="34" t="n"/>
      <c r="E124" s="34" t="n"/>
      <c r="F124" s="39" t="n"/>
      <c r="G124" s="38" t="n"/>
      <c r="H124" s="38" t="n"/>
      <c r="I124" s="51" t="n"/>
      <c r="J124" s="38" t="n"/>
      <c r="K124" s="34" t="n"/>
    </row>
    <row r="125">
      <c r="A125" s="33" t="n"/>
      <c r="B125" s="32" t="n"/>
      <c r="C125" s="32" t="n"/>
      <c r="D125" s="32" t="n"/>
      <c r="E125" s="32" t="n"/>
      <c r="F125" s="41" t="n"/>
      <c r="G125" s="40" t="n"/>
      <c r="H125" s="40" t="n"/>
      <c r="I125" s="52" t="n"/>
      <c r="J125" s="40" t="n"/>
      <c r="K125" s="32" t="n"/>
    </row>
    <row r="126">
      <c r="A126" s="35" t="n"/>
      <c r="B126" s="34" t="n"/>
      <c r="C126" s="34" t="n"/>
      <c r="D126" s="34" t="n"/>
      <c r="E126" s="34" t="n"/>
      <c r="F126" s="39" t="n"/>
      <c r="G126" s="38" t="n"/>
      <c r="H126" s="38" t="n"/>
      <c r="I126" s="51" t="n"/>
      <c r="J126" s="38" t="n"/>
      <c r="K126" s="34" t="n"/>
    </row>
    <row r="127">
      <c r="A127" s="33" t="n"/>
      <c r="B127" s="32" t="n"/>
      <c r="C127" s="32" t="n"/>
      <c r="D127" s="32" t="n"/>
      <c r="E127" s="32" t="n"/>
      <c r="F127" s="41" t="n"/>
      <c r="G127" s="40" t="n"/>
      <c r="H127" s="40" t="n"/>
      <c r="I127" s="52" t="n"/>
      <c r="J127" s="40" t="n"/>
      <c r="K127" s="32" t="n"/>
    </row>
    <row r="128">
      <c r="A128" s="35" t="n"/>
      <c r="B128" s="34" t="n"/>
      <c r="C128" s="34" t="n"/>
      <c r="D128" s="34" t="n"/>
      <c r="E128" s="34" t="n"/>
      <c r="F128" s="39" t="n"/>
      <c r="G128" s="38" t="n"/>
      <c r="H128" s="38" t="n"/>
      <c r="I128" s="51" t="n"/>
      <c r="J128" s="38" t="n"/>
      <c r="K128" s="34" t="n"/>
    </row>
    <row r="129">
      <c r="A129" s="33" t="n"/>
      <c r="B129" s="32" t="n"/>
      <c r="C129" s="32" t="n"/>
      <c r="D129" s="32" t="n"/>
      <c r="E129" s="32" t="n"/>
      <c r="F129" s="41" t="n"/>
      <c r="G129" s="40" t="n"/>
      <c r="H129" s="40" t="n"/>
      <c r="I129" s="52" t="n"/>
      <c r="J129" s="40" t="n"/>
      <c r="K129" s="32" t="n"/>
    </row>
    <row r="130">
      <c r="A130" s="35" t="n"/>
      <c r="B130" s="34" t="n"/>
      <c r="C130" s="34" t="n"/>
      <c r="D130" s="34" t="n"/>
      <c r="E130" s="34" t="n"/>
      <c r="F130" s="39" t="n"/>
      <c r="G130" s="38" t="n"/>
      <c r="H130" s="38" t="n"/>
      <c r="I130" s="51" t="n"/>
      <c r="J130" s="38" t="n"/>
      <c r="K130" s="34" t="n"/>
    </row>
    <row r="131">
      <c r="A131" s="33" t="n"/>
      <c r="B131" s="32" t="n"/>
      <c r="C131" s="32" t="n"/>
      <c r="D131" s="32" t="n"/>
      <c r="E131" s="32" t="n"/>
      <c r="F131" s="41" t="n"/>
      <c r="G131" s="40" t="n"/>
      <c r="H131" s="40" t="n"/>
      <c r="I131" s="52" t="n"/>
      <c r="J131" s="40" t="n"/>
      <c r="K131" s="32" t="n"/>
    </row>
    <row r="132">
      <c r="A132" s="35" t="n"/>
      <c r="B132" s="34" t="n"/>
      <c r="C132" s="34" t="n"/>
      <c r="D132" s="34" t="n"/>
      <c r="E132" s="34" t="n"/>
      <c r="F132" s="39" t="n"/>
      <c r="G132" s="38" t="n"/>
      <c r="H132" s="38" t="n"/>
      <c r="I132" s="51" t="n"/>
      <c r="J132" s="38" t="n"/>
      <c r="K132" s="34" t="n"/>
    </row>
    <row r="133">
      <c r="A133" s="33" t="n"/>
      <c r="B133" s="32" t="n"/>
      <c r="C133" s="32" t="n"/>
      <c r="D133" s="32" t="n"/>
      <c r="E133" s="32" t="n"/>
      <c r="F133" s="41" t="n"/>
      <c r="G133" s="40" t="n"/>
      <c r="H133" s="40" t="n"/>
      <c r="I133" s="52" t="n"/>
      <c r="J133" s="40" t="n"/>
      <c r="K133" s="32" t="n"/>
    </row>
    <row r="134">
      <c r="A134" s="35" t="n"/>
      <c r="B134" s="34" t="n"/>
      <c r="C134" s="34" t="n"/>
      <c r="D134" s="34" t="n"/>
      <c r="E134" s="34" t="n"/>
      <c r="F134" s="39" t="n"/>
      <c r="G134" s="38" t="n"/>
      <c r="H134" s="38" t="n"/>
      <c r="I134" s="51" t="n"/>
      <c r="J134" s="38" t="n"/>
      <c r="K134" s="34" t="n"/>
    </row>
    <row r="135">
      <c r="A135" s="33" t="n"/>
      <c r="B135" s="32" t="n"/>
      <c r="C135" s="32" t="n"/>
      <c r="D135" s="32" t="n"/>
      <c r="E135" s="32" t="n"/>
      <c r="F135" s="41" t="n"/>
      <c r="G135" s="40" t="n"/>
      <c r="H135" s="40" t="n"/>
      <c r="I135" s="52" t="n"/>
      <c r="J135" s="40" t="n"/>
      <c r="K135" s="32" t="n"/>
    </row>
    <row r="136">
      <c r="A136" s="35" t="n"/>
      <c r="B136" s="34" t="n"/>
      <c r="C136" s="34" t="n"/>
      <c r="D136" s="34" t="n"/>
      <c r="E136" s="34" t="n"/>
      <c r="F136" s="39" t="n"/>
      <c r="G136" s="38" t="n"/>
      <c r="H136" s="38" t="n"/>
      <c r="I136" s="51" t="n"/>
      <c r="J136" s="38" t="n"/>
      <c r="K136" s="34" t="n"/>
    </row>
    <row r="137">
      <c r="A137" s="33" t="n"/>
      <c r="B137" s="32" t="n"/>
      <c r="C137" s="32" t="n"/>
      <c r="D137" s="32" t="n"/>
      <c r="E137" s="32" t="n"/>
      <c r="F137" s="41" t="n"/>
      <c r="G137" s="40" t="n"/>
      <c r="H137" s="40" t="n"/>
      <c r="I137" s="52" t="n"/>
      <c r="J137" s="40" t="n"/>
      <c r="K137" s="32" t="n"/>
    </row>
    <row r="138">
      <c r="A138" s="35" t="n"/>
      <c r="B138" s="34" t="n"/>
      <c r="C138" s="34" t="n"/>
      <c r="D138" s="34" t="n"/>
      <c r="E138" s="34" t="n"/>
      <c r="F138" s="39" t="n"/>
      <c r="G138" s="38" t="n"/>
      <c r="H138" s="38" t="n"/>
      <c r="I138" s="51" t="n"/>
      <c r="J138" s="38" t="n"/>
      <c r="K138" s="34" t="n"/>
    </row>
    <row r="139">
      <c r="A139" s="33" t="n"/>
      <c r="B139" s="32" t="n"/>
      <c r="C139" s="32" t="n"/>
      <c r="D139" s="32" t="n"/>
      <c r="E139" s="32" t="n"/>
      <c r="F139" s="41" t="n"/>
      <c r="G139" s="40" t="n"/>
      <c r="H139" s="40" t="n"/>
      <c r="I139" s="52" t="n"/>
      <c r="J139" s="40" t="n"/>
      <c r="K139" s="32" t="n"/>
    </row>
    <row r="140">
      <c r="A140" s="35" t="n"/>
      <c r="B140" s="34" t="n"/>
      <c r="C140" s="34" t="n"/>
      <c r="D140" s="34" t="n"/>
      <c r="E140" s="34" t="n"/>
      <c r="F140" s="39" t="n"/>
      <c r="G140" s="38" t="n"/>
      <c r="H140" s="38" t="n"/>
      <c r="I140" s="51" t="n"/>
      <c r="J140" s="38" t="n"/>
      <c r="K140" s="34" t="n"/>
    </row>
    <row r="141">
      <c r="A141" s="33" t="n"/>
      <c r="B141" s="32" t="n"/>
      <c r="C141" s="32" t="n"/>
      <c r="D141" s="32" t="n"/>
      <c r="E141" s="32" t="n"/>
      <c r="F141" s="41" t="n"/>
      <c r="G141" s="40" t="n"/>
      <c r="H141" s="40" t="n"/>
      <c r="I141" s="52" t="n"/>
      <c r="J141" s="40" t="n"/>
      <c r="K141" s="32" t="n"/>
    </row>
    <row r="142">
      <c r="A142" s="35" t="n"/>
      <c r="B142" s="34" t="n"/>
      <c r="C142" s="34" t="n"/>
      <c r="D142" s="34" t="n"/>
      <c r="E142" s="34" t="n"/>
      <c r="F142" s="39" t="n"/>
      <c r="G142" s="38" t="n"/>
      <c r="H142" s="38" t="n"/>
      <c r="I142" s="51" t="n"/>
      <c r="J142" s="38" t="n"/>
      <c r="K142" s="34" t="n"/>
    </row>
    <row r="143">
      <c r="A143" s="33" t="n"/>
      <c r="B143" s="32" t="n"/>
      <c r="C143" s="32" t="n"/>
      <c r="D143" s="32" t="n"/>
      <c r="E143" s="32" t="n"/>
      <c r="F143" s="41" t="n"/>
      <c r="G143" s="40" t="n"/>
      <c r="H143" s="40" t="n"/>
      <c r="I143" s="52" t="n"/>
      <c r="J143" s="40" t="n"/>
      <c r="K143" s="32" t="n"/>
    </row>
    <row r="144">
      <c r="A144" s="35" t="n"/>
      <c r="B144" s="34" t="n"/>
      <c r="C144" s="34" t="n"/>
      <c r="D144" s="34" t="n"/>
      <c r="E144" s="34" t="n"/>
      <c r="F144" s="39" t="n"/>
      <c r="G144" s="38" t="n"/>
      <c r="H144" s="38" t="n"/>
      <c r="I144" s="51" t="n"/>
      <c r="J144" s="38" t="n"/>
      <c r="K144" s="34" t="n"/>
    </row>
    <row r="145">
      <c r="A145" s="33" t="n"/>
      <c r="B145" s="32" t="n"/>
      <c r="C145" s="32" t="n"/>
      <c r="D145" s="32" t="n"/>
      <c r="E145" s="32" t="n"/>
      <c r="F145" s="41" t="n"/>
      <c r="G145" s="40" t="n"/>
      <c r="H145" s="40" t="n"/>
      <c r="I145" s="52" t="n"/>
      <c r="J145" s="40" t="n"/>
      <c r="K145" s="32" t="n"/>
    </row>
    <row r="146">
      <c r="A146" s="35" t="n"/>
      <c r="B146" s="34" t="n"/>
      <c r="C146" s="34" t="n"/>
      <c r="D146" s="34" t="n"/>
      <c r="E146" s="34" t="n"/>
      <c r="F146" s="39" t="n"/>
      <c r="G146" s="38" t="n"/>
      <c r="H146" s="38" t="n"/>
      <c r="I146" s="51" t="n"/>
      <c r="J146" s="38" t="n"/>
      <c r="K146" s="34" t="n"/>
    </row>
    <row r="147">
      <c r="A147" s="33" t="n"/>
      <c r="B147" s="32" t="n"/>
      <c r="C147" s="32" t="n"/>
      <c r="D147" s="32" t="n"/>
      <c r="E147" s="32" t="n"/>
      <c r="F147" s="41" t="n"/>
      <c r="G147" s="40" t="n"/>
      <c r="H147" s="40" t="n"/>
      <c r="I147" s="52" t="n"/>
      <c r="J147" s="40" t="n"/>
      <c r="K147" s="32" t="n"/>
    </row>
    <row r="148">
      <c r="A148" s="35" t="n"/>
      <c r="B148" s="34" t="n"/>
      <c r="C148" s="34" t="n"/>
      <c r="D148" s="34" t="n"/>
      <c r="E148" s="34" t="n"/>
      <c r="F148" s="39" t="n"/>
      <c r="G148" s="38" t="n"/>
      <c r="H148" s="38" t="n"/>
      <c r="I148" s="51" t="n"/>
      <c r="J148" s="38" t="n"/>
      <c r="K148" s="34" t="n"/>
    </row>
    <row r="149">
      <c r="A149" s="33" t="n"/>
      <c r="B149" s="32" t="n"/>
      <c r="C149" s="32" t="n"/>
      <c r="D149" s="32" t="n"/>
      <c r="E149" s="32" t="n"/>
      <c r="F149" s="41" t="n"/>
      <c r="G149" s="40" t="n"/>
      <c r="H149" s="40" t="n"/>
      <c r="I149" s="52" t="n"/>
      <c r="J149" s="40" t="n"/>
      <c r="K149" s="32" t="n"/>
    </row>
    <row r="150">
      <c r="A150" s="35" t="n"/>
      <c r="B150" s="34" t="n"/>
      <c r="C150" s="34" t="n"/>
      <c r="D150" s="34" t="n"/>
      <c r="E150" s="34" t="n"/>
      <c r="F150" s="39" t="n"/>
      <c r="G150" s="38" t="n"/>
      <c r="H150" s="38" t="n"/>
      <c r="I150" s="51" t="n"/>
      <c r="J150" s="38" t="n"/>
      <c r="K150" s="34" t="n"/>
    </row>
    <row r="151">
      <c r="A151" s="33" t="n"/>
      <c r="B151" s="32" t="n"/>
      <c r="C151" s="32" t="n"/>
      <c r="D151" s="32" t="n"/>
      <c r="E151" s="32" t="n"/>
      <c r="F151" s="41" t="n"/>
      <c r="G151" s="40" t="n"/>
      <c r="H151" s="40" t="n"/>
      <c r="I151" s="52" t="n"/>
      <c r="J151" s="40" t="n"/>
      <c r="K151" s="32" t="n"/>
    </row>
    <row r="152">
      <c r="A152" s="35" t="n"/>
      <c r="B152" s="34" t="n"/>
      <c r="C152" s="34" t="n"/>
      <c r="D152" s="34" t="n"/>
      <c r="E152" s="34" t="n"/>
      <c r="F152" s="39" t="n"/>
      <c r="G152" s="38" t="n"/>
      <c r="H152" s="38" t="n"/>
      <c r="I152" s="51" t="n"/>
      <c r="J152" s="38" t="n"/>
      <c r="K152" s="34" t="n"/>
    </row>
    <row r="153">
      <c r="A153" s="33" t="n"/>
      <c r="B153" s="32" t="n"/>
      <c r="C153" s="32" t="n"/>
      <c r="D153" s="32" t="n"/>
      <c r="E153" s="32" t="n"/>
      <c r="F153" s="41" t="n"/>
      <c r="G153" s="40" t="n"/>
      <c r="H153" s="40" t="n"/>
      <c r="I153" s="52" t="n"/>
      <c r="J153" s="40" t="n"/>
      <c r="K153" s="32" t="n"/>
    </row>
    <row r="154">
      <c r="A154" s="35" t="n"/>
      <c r="B154" s="34" t="n"/>
      <c r="C154" s="34" t="n"/>
      <c r="D154" s="34" t="n"/>
      <c r="E154" s="34" t="n"/>
      <c r="F154" s="39" t="n"/>
      <c r="G154" s="38" t="n"/>
      <c r="H154" s="38" t="n"/>
      <c r="I154" s="51" t="n"/>
      <c r="J154" s="38" t="n"/>
      <c r="K154" s="34" t="n"/>
    </row>
    <row r="155">
      <c r="A155" s="33" t="n"/>
      <c r="B155" s="32" t="n"/>
      <c r="C155" s="32" t="n"/>
      <c r="D155" s="32" t="n"/>
      <c r="E155" s="32" t="n"/>
      <c r="F155" s="41" t="n"/>
      <c r="G155" s="40" t="n"/>
      <c r="H155" s="40" t="n"/>
      <c r="I155" s="52" t="n"/>
      <c r="J155" s="40" t="n"/>
      <c r="K155" s="32" t="n"/>
    </row>
    <row r="156">
      <c r="A156" s="35" t="n"/>
      <c r="B156" s="34" t="n"/>
      <c r="C156" s="34" t="n"/>
      <c r="D156" s="34" t="n"/>
      <c r="E156" s="34" t="n"/>
      <c r="F156" s="39" t="n"/>
      <c r="G156" s="38" t="n"/>
      <c r="H156" s="38" t="n"/>
      <c r="I156" s="51" t="n"/>
      <c r="J156" s="38" t="n"/>
      <c r="K156" s="34" t="n"/>
    </row>
    <row r="157">
      <c r="A157" s="33" t="n"/>
      <c r="B157" s="32" t="n"/>
      <c r="C157" s="32" t="n"/>
      <c r="D157" s="32" t="n"/>
      <c r="E157" s="32" t="n"/>
      <c r="F157" s="41" t="n"/>
      <c r="G157" s="40" t="n"/>
      <c r="H157" s="40" t="n"/>
      <c r="I157" s="52" t="n"/>
      <c r="J157" s="40" t="n"/>
      <c r="K157" s="32" t="n"/>
    </row>
    <row r="158">
      <c r="A158" s="35" t="n"/>
      <c r="B158" s="34" t="n"/>
      <c r="C158" s="34" t="n"/>
      <c r="D158" s="34" t="n"/>
      <c r="E158" s="34" t="n"/>
      <c r="F158" s="39" t="n"/>
      <c r="G158" s="38" t="n"/>
      <c r="H158" s="38" t="n"/>
      <c r="I158" s="51" t="n"/>
      <c r="J158" s="38" t="n"/>
      <c r="K158" s="34" t="n"/>
    </row>
    <row r="159">
      <c r="A159" s="33" t="n"/>
      <c r="B159" s="32" t="n"/>
      <c r="C159" s="32" t="n"/>
      <c r="D159" s="32" t="n"/>
      <c r="E159" s="32" t="n"/>
      <c r="F159" s="41" t="n"/>
      <c r="G159" s="40" t="n"/>
      <c r="H159" s="40" t="n"/>
      <c r="I159" s="52" t="n"/>
      <c r="J159" s="40" t="n"/>
      <c r="K159" s="32" t="n"/>
    </row>
    <row r="160">
      <c r="A160" s="35" t="n"/>
      <c r="B160" s="34" t="n"/>
      <c r="C160" s="34" t="n"/>
      <c r="D160" s="34" t="n"/>
      <c r="E160" s="34" t="n"/>
      <c r="F160" s="39" t="n"/>
      <c r="G160" s="38" t="n"/>
      <c r="H160" s="38" t="n"/>
      <c r="I160" s="51" t="n"/>
      <c r="J160" s="38" t="n"/>
      <c r="K160" s="34" t="n"/>
    </row>
    <row r="161">
      <c r="A161" s="33" t="n"/>
      <c r="B161" s="32" t="n"/>
      <c r="C161" s="32" t="n"/>
      <c r="D161" s="32" t="n"/>
      <c r="E161" s="32" t="n"/>
      <c r="F161" s="41" t="n"/>
      <c r="G161" s="40" t="n"/>
      <c r="H161" s="40" t="n"/>
      <c r="I161" s="52" t="n"/>
      <c r="J161" s="40" t="n"/>
      <c r="K161" s="32" t="n"/>
    </row>
    <row r="162">
      <c r="A162" s="35" t="n"/>
      <c r="B162" s="34" t="n"/>
      <c r="C162" s="34" t="n"/>
      <c r="D162" s="34" t="n"/>
      <c r="E162" s="34" t="n"/>
      <c r="F162" s="39" t="n"/>
      <c r="G162" s="38" t="n"/>
      <c r="H162" s="38" t="n"/>
      <c r="I162" s="51" t="n"/>
      <c r="J162" s="38" t="n"/>
      <c r="K162" s="34" t="n"/>
    </row>
    <row r="163">
      <c r="A163" s="33" t="n"/>
      <c r="B163" s="32" t="n"/>
      <c r="C163" s="32" t="n"/>
      <c r="D163" s="32" t="n"/>
      <c r="E163" s="32" t="n"/>
      <c r="F163" s="41" t="n"/>
      <c r="G163" s="40" t="n"/>
      <c r="H163" s="40" t="n"/>
      <c r="I163" s="52" t="n"/>
      <c r="J163" s="40" t="n"/>
      <c r="K163" s="32" t="n"/>
    </row>
    <row r="164">
      <c r="A164" s="35" t="n"/>
      <c r="B164" s="34" t="n"/>
      <c r="C164" s="34" t="n"/>
      <c r="D164" s="34" t="n"/>
      <c r="E164" s="34" t="n"/>
      <c r="F164" s="39" t="n"/>
      <c r="G164" s="38" t="n"/>
      <c r="H164" s="38" t="n"/>
      <c r="I164" s="51" t="n"/>
      <c r="J164" s="38" t="n"/>
      <c r="K164" s="34" t="n"/>
    </row>
    <row r="165">
      <c r="A165" s="33" t="n"/>
      <c r="B165" s="32" t="n"/>
      <c r="C165" s="32" t="n"/>
      <c r="D165" s="32" t="n"/>
      <c r="E165" s="32" t="n"/>
      <c r="F165" s="41" t="n"/>
      <c r="G165" s="40" t="n"/>
      <c r="H165" s="40" t="n"/>
      <c r="I165" s="52" t="n"/>
      <c r="J165" s="40" t="n"/>
      <c r="K165" s="32" t="n"/>
    </row>
    <row r="166">
      <c r="A166" s="35" t="n"/>
      <c r="B166" s="34" t="n"/>
      <c r="C166" s="34" t="n"/>
      <c r="D166" s="34" t="n"/>
      <c r="E166" s="34" t="n"/>
      <c r="F166" s="39" t="n"/>
      <c r="G166" s="38" t="n"/>
      <c r="H166" s="38" t="n"/>
      <c r="I166" s="51" t="n"/>
      <c r="J166" s="38" t="n"/>
      <c r="K166" s="34" t="n"/>
    </row>
    <row r="167">
      <c r="A167" s="33" t="n"/>
      <c r="B167" s="32" t="n"/>
      <c r="C167" s="32" t="n"/>
      <c r="D167" s="32" t="n"/>
      <c r="E167" s="32" t="n"/>
      <c r="F167" s="41" t="n"/>
      <c r="G167" s="40" t="n"/>
      <c r="H167" s="40" t="n"/>
      <c r="I167" s="52" t="n"/>
      <c r="J167" s="40" t="n"/>
      <c r="K167" s="32" t="n"/>
    </row>
    <row r="168">
      <c r="A168" s="35" t="n"/>
      <c r="B168" s="34" t="n"/>
      <c r="C168" s="34" t="n"/>
      <c r="D168" s="34" t="n"/>
      <c r="E168" s="34" t="n"/>
      <c r="F168" s="39" t="n"/>
      <c r="G168" s="38" t="n"/>
      <c r="H168" s="38" t="n"/>
      <c r="I168" s="51" t="n"/>
      <c r="J168" s="38" t="n"/>
      <c r="K168" s="34" t="n"/>
    </row>
    <row r="169">
      <c r="A169" s="33" t="n"/>
      <c r="B169" s="32" t="n"/>
      <c r="C169" s="32" t="n"/>
      <c r="D169" s="32" t="n"/>
      <c r="E169" s="32" t="n"/>
      <c r="F169" s="41" t="n"/>
      <c r="G169" s="40" t="n"/>
      <c r="H169" s="40" t="n"/>
      <c r="I169" s="52" t="n"/>
      <c r="J169" s="40" t="n"/>
      <c r="K169" s="32" t="n"/>
    </row>
    <row r="170">
      <c r="A170" s="35" t="n"/>
      <c r="B170" s="34" t="n"/>
      <c r="C170" s="34" t="n"/>
      <c r="D170" s="34" t="n"/>
      <c r="E170" s="34" t="n"/>
      <c r="F170" s="39" t="n"/>
      <c r="G170" s="38" t="n"/>
      <c r="H170" s="38" t="n"/>
      <c r="I170" s="51" t="n"/>
      <c r="J170" s="38" t="n"/>
      <c r="K170" s="34" t="n"/>
    </row>
    <row r="171">
      <c r="A171" s="33" t="n"/>
      <c r="B171" s="32" t="n"/>
      <c r="C171" s="32" t="n"/>
      <c r="D171" s="32" t="n"/>
      <c r="E171" s="32" t="n"/>
      <c r="F171" s="41" t="n"/>
      <c r="G171" s="40" t="n"/>
      <c r="H171" s="40" t="n"/>
      <c r="I171" s="52" t="n"/>
      <c r="J171" s="40" t="n"/>
      <c r="K171" s="32" t="n"/>
    </row>
    <row r="172">
      <c r="A172" s="35" t="n"/>
      <c r="B172" s="34" t="n"/>
      <c r="C172" s="34" t="n"/>
      <c r="D172" s="34" t="n"/>
      <c r="E172" s="34" t="n"/>
      <c r="F172" s="39" t="n"/>
      <c r="G172" s="38" t="n"/>
      <c r="H172" s="38" t="n"/>
      <c r="I172" s="51" t="n"/>
      <c r="J172" s="38" t="n"/>
      <c r="K172" s="34" t="n"/>
    </row>
    <row r="173">
      <c r="A173" s="33" t="n"/>
      <c r="B173" s="32" t="n"/>
      <c r="C173" s="32" t="n"/>
      <c r="D173" s="32" t="n"/>
      <c r="E173" s="32" t="n"/>
      <c r="F173" s="41" t="n"/>
      <c r="G173" s="40" t="n"/>
      <c r="H173" s="40" t="n"/>
      <c r="I173" s="52" t="n"/>
      <c r="J173" s="40" t="n"/>
      <c r="K173" s="32" t="n"/>
    </row>
    <row r="174">
      <c r="A174" s="35" t="n"/>
      <c r="B174" s="34" t="n"/>
      <c r="C174" s="34" t="n"/>
      <c r="D174" s="34" t="n"/>
      <c r="E174" s="34" t="n"/>
      <c r="F174" s="39" t="n"/>
      <c r="G174" s="38" t="n"/>
      <c r="H174" s="38" t="n"/>
      <c r="I174" s="51" t="n"/>
      <c r="J174" s="38" t="n"/>
      <c r="K174" s="34" t="n"/>
    </row>
    <row r="175">
      <c r="A175" s="33" t="n"/>
      <c r="B175" s="32" t="n"/>
      <c r="C175" s="32" t="n"/>
      <c r="D175" s="32" t="n"/>
      <c r="E175" s="32" t="n"/>
      <c r="F175" s="41" t="n"/>
      <c r="G175" s="40" t="n"/>
      <c r="H175" s="40" t="n"/>
      <c r="I175" s="52" t="n"/>
      <c r="J175" s="40" t="n"/>
      <c r="K175" s="32" t="n"/>
    </row>
    <row r="176">
      <c r="A176" s="35" t="n"/>
      <c r="B176" s="34" t="n"/>
      <c r="C176" s="34" t="n"/>
      <c r="D176" s="34" t="n"/>
      <c r="E176" s="34" t="n"/>
      <c r="F176" s="39" t="n"/>
      <c r="G176" s="38" t="n"/>
      <c r="H176" s="38" t="n"/>
      <c r="I176" s="51" t="n"/>
      <c r="J176" s="38" t="n"/>
      <c r="K176" s="34" t="n"/>
    </row>
    <row r="177">
      <c r="A177" s="33" t="n"/>
      <c r="B177" s="32" t="n"/>
      <c r="C177" s="32" t="n"/>
      <c r="D177" s="32" t="n"/>
      <c r="E177" s="32" t="n"/>
      <c r="F177" s="41" t="n"/>
      <c r="G177" s="40" t="n"/>
      <c r="H177" s="40" t="n"/>
      <c r="I177" s="52" t="n"/>
      <c r="J177" s="40" t="n"/>
      <c r="K177" s="32" t="n"/>
    </row>
    <row r="178">
      <c r="A178" s="35" t="n"/>
      <c r="B178" s="34" t="n"/>
      <c r="C178" s="34" t="n"/>
      <c r="D178" s="34" t="n"/>
      <c r="E178" s="34" t="n"/>
      <c r="F178" s="39" t="n"/>
      <c r="G178" s="38" t="n"/>
      <c r="H178" s="38" t="n"/>
      <c r="I178" s="51" t="n"/>
      <c r="J178" s="38" t="n"/>
      <c r="K178" s="34" t="n"/>
    </row>
    <row r="179">
      <c r="A179" s="33" t="n"/>
      <c r="B179" s="32" t="n"/>
      <c r="C179" s="32" t="n"/>
      <c r="D179" s="32" t="n"/>
      <c r="E179" s="32" t="n"/>
      <c r="F179" s="41" t="n"/>
      <c r="G179" s="40" t="n"/>
      <c r="H179" s="40" t="n"/>
      <c r="I179" s="52" t="n"/>
      <c r="J179" s="40" t="n"/>
      <c r="K179" s="32" t="n"/>
    </row>
    <row r="180">
      <c r="A180" s="35" t="n"/>
      <c r="B180" s="34" t="n"/>
      <c r="C180" s="34" t="n"/>
      <c r="D180" s="34" t="n"/>
      <c r="E180" s="34" t="n"/>
      <c r="F180" s="39" t="n"/>
      <c r="G180" s="38" t="n"/>
      <c r="H180" s="38" t="n"/>
      <c r="I180" s="51" t="n"/>
      <c r="J180" s="38" t="n"/>
      <c r="K180" s="34" t="n"/>
    </row>
    <row r="181">
      <c r="A181" s="33" t="n"/>
      <c r="B181" s="32" t="n"/>
      <c r="C181" s="32" t="n"/>
      <c r="D181" s="32" t="n"/>
      <c r="E181" s="32" t="n"/>
      <c r="F181" s="41" t="n"/>
      <c r="G181" s="40" t="n"/>
      <c r="H181" s="40" t="n"/>
      <c r="I181" s="52" t="n"/>
      <c r="J181" s="40" t="n"/>
      <c r="K181" s="32" t="n"/>
    </row>
    <row r="182">
      <c r="A182" s="35" t="n"/>
      <c r="B182" s="34" t="n"/>
      <c r="C182" s="34" t="n"/>
      <c r="D182" s="34" t="n"/>
      <c r="E182" s="34" t="n"/>
      <c r="F182" s="39" t="n"/>
      <c r="G182" s="38" t="n"/>
      <c r="H182" s="38" t="n"/>
      <c r="I182" s="51" t="n"/>
      <c r="J182" s="38" t="n"/>
      <c r="K182" s="34" t="n"/>
    </row>
    <row r="183">
      <c r="A183" s="33" t="n"/>
      <c r="B183" s="32" t="n"/>
      <c r="C183" s="32" t="n"/>
      <c r="D183" s="32" t="n"/>
      <c r="E183" s="32" t="n"/>
      <c r="F183" s="41" t="n"/>
      <c r="G183" s="40" t="n"/>
      <c r="H183" s="40" t="n"/>
      <c r="I183" s="52" t="n"/>
      <c r="J183" s="40" t="n"/>
      <c r="K183" s="32" t="n"/>
    </row>
    <row r="184">
      <c r="A184" s="35" t="n"/>
      <c r="B184" s="34" t="n"/>
      <c r="C184" s="34" t="n"/>
      <c r="D184" s="34" t="n"/>
      <c r="E184" s="34" t="n"/>
      <c r="F184" s="39" t="n"/>
      <c r="G184" s="38" t="n"/>
      <c r="H184" s="38" t="n"/>
      <c r="I184" s="51" t="n"/>
      <c r="J184" s="38" t="n"/>
      <c r="K184" s="34" t="n"/>
    </row>
    <row r="185">
      <c r="A185" s="33" t="n"/>
      <c r="B185" s="32" t="n"/>
      <c r="C185" s="32" t="n"/>
      <c r="D185" s="32" t="n"/>
      <c r="E185" s="32" t="n"/>
      <c r="F185" s="41" t="n"/>
      <c r="G185" s="40" t="n"/>
      <c r="H185" s="40" t="n"/>
      <c r="I185" s="52" t="n"/>
      <c r="J185" s="40" t="n"/>
      <c r="K185" s="32" t="n"/>
    </row>
    <row r="186">
      <c r="A186" s="35" t="n"/>
      <c r="B186" s="34" t="n"/>
      <c r="C186" s="34" t="n"/>
      <c r="D186" s="34" t="n"/>
      <c r="E186" s="34" t="n"/>
      <c r="F186" s="39" t="n"/>
      <c r="G186" s="38" t="n"/>
      <c r="H186" s="38" t="n"/>
      <c r="I186" s="51" t="n"/>
      <c r="J186" s="38" t="n"/>
      <c r="K186" s="34" t="n"/>
    </row>
    <row r="187">
      <c r="A187" s="33" t="n"/>
      <c r="B187" s="32" t="n"/>
      <c r="C187" s="32" t="n"/>
      <c r="D187" s="32" t="n"/>
      <c r="E187" s="32" t="n"/>
      <c r="F187" s="41" t="n"/>
      <c r="G187" s="40" t="n"/>
      <c r="H187" s="40" t="n"/>
      <c r="I187" s="52" t="n"/>
      <c r="J187" s="40" t="n"/>
      <c r="K187" s="32" t="n"/>
    </row>
    <row r="188">
      <c r="A188" s="35" t="n"/>
      <c r="B188" s="34" t="n"/>
      <c r="C188" s="34" t="n"/>
      <c r="D188" s="34" t="n"/>
      <c r="E188" s="34" t="n"/>
      <c r="F188" s="39" t="n"/>
      <c r="G188" s="38" t="n"/>
      <c r="H188" s="38" t="n"/>
      <c r="I188" s="51" t="n"/>
      <c r="J188" s="38" t="n"/>
      <c r="K188" s="34" t="n"/>
    </row>
    <row r="189">
      <c r="A189" s="33" t="n"/>
      <c r="B189" s="32" t="n"/>
      <c r="C189" s="32" t="n"/>
      <c r="D189" s="32" t="n"/>
      <c r="E189" s="32" t="n"/>
      <c r="F189" s="41" t="n"/>
      <c r="G189" s="40" t="n"/>
      <c r="H189" s="40" t="n"/>
      <c r="I189" s="52" t="n"/>
      <c r="J189" s="40" t="n"/>
      <c r="K189" s="32" t="n"/>
    </row>
    <row r="190">
      <c r="A190" s="35" t="n"/>
      <c r="B190" s="34" t="n"/>
      <c r="C190" s="34" t="n"/>
      <c r="D190" s="34" t="n"/>
      <c r="E190" s="34" t="n"/>
      <c r="F190" s="39" t="n"/>
      <c r="G190" s="38" t="n"/>
      <c r="H190" s="38" t="n"/>
      <c r="I190" s="51" t="n"/>
      <c r="J190" s="38" t="n"/>
      <c r="K190" s="34" t="n"/>
    </row>
    <row r="191">
      <c r="A191" s="33" t="n"/>
      <c r="B191" s="32" t="n"/>
      <c r="C191" s="32" t="n"/>
      <c r="D191" s="32" t="n"/>
      <c r="E191" s="32" t="n"/>
      <c r="F191" s="41" t="n"/>
      <c r="G191" s="40" t="n"/>
      <c r="H191" s="40" t="n"/>
      <c r="I191" s="52" t="n"/>
      <c r="J191" s="40" t="n"/>
      <c r="K191" s="32" t="n"/>
    </row>
    <row r="192">
      <c r="A192" s="35" t="n"/>
      <c r="B192" s="34" t="n"/>
      <c r="C192" s="34" t="n"/>
      <c r="D192" s="34" t="n"/>
      <c r="E192" s="34" t="n"/>
      <c r="F192" s="39" t="n"/>
      <c r="G192" s="38" t="n"/>
      <c r="H192" s="38" t="n"/>
      <c r="I192" s="51" t="n"/>
      <c r="J192" s="38" t="n"/>
      <c r="K192" s="34" t="n"/>
    </row>
    <row r="193">
      <c r="A193" s="33" t="n"/>
      <c r="B193" s="32" t="n"/>
      <c r="C193" s="32" t="n"/>
      <c r="D193" s="32" t="n"/>
      <c r="E193" s="32" t="n"/>
      <c r="F193" s="41" t="n"/>
      <c r="G193" s="40" t="n"/>
      <c r="H193" s="40" t="n"/>
      <c r="I193" s="52" t="n"/>
      <c r="J193" s="40" t="n"/>
      <c r="K193" s="32" t="n"/>
    </row>
    <row r="194">
      <c r="A194" s="35" t="n"/>
      <c r="B194" s="34" t="n"/>
      <c r="C194" s="34" t="n"/>
      <c r="D194" s="34" t="n"/>
      <c r="E194" s="34" t="n"/>
      <c r="F194" s="39" t="n"/>
      <c r="G194" s="38" t="n"/>
      <c r="H194" s="38" t="n"/>
      <c r="I194" s="51" t="n"/>
      <c r="J194" s="38" t="n"/>
      <c r="K194" s="34" t="n"/>
    </row>
    <row r="195">
      <c r="A195" s="33" t="n"/>
      <c r="B195" s="32" t="n"/>
      <c r="C195" s="32" t="n"/>
      <c r="D195" s="32" t="n"/>
      <c r="E195" s="32" t="n"/>
      <c r="F195" s="41" t="n"/>
      <c r="G195" s="40" t="n"/>
      <c r="H195" s="40" t="n"/>
      <c r="I195" s="52" t="n"/>
      <c r="J195" s="40" t="n"/>
      <c r="K195" s="32" t="n"/>
    </row>
    <row r="196">
      <c r="A196" s="35" t="n"/>
      <c r="B196" s="34" t="n"/>
      <c r="C196" s="34" t="n"/>
      <c r="D196" s="34" t="n"/>
      <c r="E196" s="34" t="n"/>
      <c r="F196" s="39" t="n"/>
      <c r="G196" s="38" t="n"/>
      <c r="H196" s="38" t="n"/>
      <c r="I196" s="51" t="n"/>
      <c r="J196" s="38" t="n"/>
      <c r="K196" s="34" t="n"/>
    </row>
    <row r="197">
      <c r="A197" s="33" t="n"/>
      <c r="B197" s="32" t="n"/>
      <c r="C197" s="32" t="n"/>
      <c r="D197" s="32" t="n"/>
      <c r="E197" s="32" t="n"/>
      <c r="F197" s="41" t="n"/>
      <c r="G197" s="40" t="n"/>
      <c r="H197" s="40" t="n"/>
      <c r="I197" s="52" t="n"/>
      <c r="J197" s="40" t="n"/>
      <c r="K197" s="32" t="n"/>
    </row>
    <row r="198">
      <c r="A198" s="35" t="n"/>
      <c r="B198" s="34" t="n"/>
      <c r="C198" s="34" t="n"/>
      <c r="D198" s="34" t="n"/>
      <c r="E198" s="34" t="n"/>
      <c r="F198" s="39" t="n"/>
      <c r="G198" s="38" t="n"/>
      <c r="H198" s="38" t="n"/>
      <c r="I198" s="51" t="n"/>
      <c r="J198" s="38" t="n"/>
      <c r="K198" s="34" t="n"/>
    </row>
    <row r="199">
      <c r="A199" s="33" t="n"/>
      <c r="B199" s="32" t="n"/>
      <c r="C199" s="32" t="n"/>
      <c r="D199" s="32" t="n"/>
      <c r="E199" s="32" t="n"/>
      <c r="F199" s="41" t="n"/>
      <c r="G199" s="40" t="n"/>
      <c r="H199" s="40" t="n"/>
      <c r="I199" s="52" t="n"/>
      <c r="J199" s="40" t="n"/>
      <c r="K199" s="32" t="n"/>
    </row>
    <row r="200">
      <c r="A200" s="35" t="n"/>
      <c r="B200" s="34" t="n"/>
      <c r="C200" s="34" t="n"/>
      <c r="D200" s="34" t="n"/>
      <c r="E200" s="34" t="n"/>
      <c r="F200" s="39" t="n"/>
      <c r="G200" s="38" t="n"/>
      <c r="H200" s="38" t="n"/>
      <c r="I200" s="51" t="n"/>
      <c r="J200" s="38" t="n"/>
      <c r="K200" s="34" t="n"/>
    </row>
    <row r="201">
      <c r="A201" s="33" t="n"/>
      <c r="B201" s="32" t="n"/>
      <c r="C201" s="32" t="n"/>
      <c r="D201" s="32" t="n"/>
      <c r="E201" s="32" t="n"/>
      <c r="F201" s="41" t="n"/>
      <c r="G201" s="40" t="n"/>
      <c r="H201" s="40" t="n"/>
      <c r="I201" s="52" t="n"/>
      <c r="J201" s="40" t="n"/>
      <c r="K201" s="32" t="n"/>
    </row>
    <row r="202">
      <c r="A202" s="35" t="n"/>
      <c r="B202" s="34" t="n"/>
      <c r="C202" s="34" t="n"/>
      <c r="D202" s="34" t="n"/>
      <c r="E202" s="34" t="n"/>
      <c r="F202" s="39" t="n"/>
      <c r="G202" s="38" t="n"/>
      <c r="H202" s="38" t="n"/>
      <c r="I202" s="51" t="n"/>
      <c r="J202" s="38" t="n"/>
      <c r="K202" s="34" t="n"/>
    </row>
    <row r="203">
      <c r="A203" s="33" t="n"/>
      <c r="B203" s="32" t="n"/>
      <c r="C203" s="32" t="n"/>
      <c r="D203" s="32" t="n"/>
      <c r="E203" s="32" t="n"/>
      <c r="F203" s="41" t="n"/>
      <c r="G203" s="40" t="n"/>
      <c r="H203" s="40" t="n"/>
      <c r="I203" s="52" t="n"/>
      <c r="J203" s="40" t="n"/>
      <c r="K203" s="32" t="n"/>
    </row>
    <row r="204">
      <c r="A204" s="35" t="n"/>
      <c r="B204" s="34" t="n"/>
      <c r="C204" s="34" t="n"/>
      <c r="D204" s="34" t="n"/>
      <c r="E204" s="34" t="n"/>
      <c r="F204" s="39" t="n"/>
      <c r="G204" s="38" t="n"/>
      <c r="H204" s="38" t="n"/>
      <c r="I204" s="51" t="n"/>
      <c r="J204" s="38" t="n"/>
      <c r="K204" s="34" t="n"/>
    </row>
    <row r="205">
      <c r="A205" s="33" t="n"/>
      <c r="B205" s="32" t="n"/>
      <c r="C205" s="32" t="n"/>
      <c r="D205" s="32" t="n"/>
      <c r="E205" s="32" t="n"/>
      <c r="F205" s="41" t="n"/>
      <c r="G205" s="40" t="n"/>
      <c r="H205" s="40" t="n"/>
      <c r="I205" s="52" t="n"/>
      <c r="J205" s="40" t="n"/>
      <c r="K205" s="32" t="n"/>
    </row>
    <row r="206">
      <c r="A206" s="35" t="n"/>
      <c r="B206" s="34" t="n"/>
      <c r="C206" s="34" t="n"/>
      <c r="D206" s="34" t="n"/>
      <c r="E206" s="34" t="n"/>
      <c r="F206" s="39" t="n"/>
      <c r="G206" s="38" t="n"/>
      <c r="H206" s="38" t="n"/>
      <c r="I206" s="51" t="n"/>
      <c r="J206" s="38" t="n"/>
      <c r="K206" s="34" t="n"/>
    </row>
    <row r="207">
      <c r="A207" s="33" t="n"/>
      <c r="B207" s="32" t="n"/>
      <c r="C207" s="32" t="n"/>
      <c r="D207" s="32" t="n"/>
      <c r="E207" s="32" t="n"/>
      <c r="F207" s="41" t="n"/>
      <c r="G207" s="40" t="n"/>
      <c r="H207" s="40" t="n"/>
      <c r="I207" s="52" t="n"/>
      <c r="J207" s="40" t="n"/>
      <c r="K207" s="32" t="n"/>
    </row>
    <row r="208">
      <c r="A208" s="35" t="n"/>
      <c r="B208" s="34" t="n"/>
      <c r="C208" s="34" t="n"/>
      <c r="D208" s="34" t="n"/>
      <c r="E208" s="34" t="n"/>
      <c r="F208" s="39" t="n"/>
      <c r="G208" s="38" t="n"/>
      <c r="H208" s="38" t="n"/>
      <c r="I208" s="51" t="n"/>
      <c r="J208" s="38" t="n"/>
      <c r="K208" s="34" t="n"/>
    </row>
    <row r="209">
      <c r="A209" s="33" t="n"/>
      <c r="B209" s="32" t="n"/>
      <c r="C209" s="32" t="n"/>
      <c r="D209" s="32" t="n"/>
      <c r="E209" s="32" t="n"/>
      <c r="F209" s="41" t="n"/>
      <c r="G209" s="40" t="n"/>
      <c r="H209" s="40" t="n"/>
      <c r="I209" s="52" t="n"/>
      <c r="J209" s="40" t="n"/>
      <c r="K209" s="32" t="n"/>
    </row>
    <row r="210">
      <c r="A210" s="35" t="n"/>
      <c r="B210" s="34" t="n"/>
      <c r="C210" s="34" t="n"/>
      <c r="D210" s="34" t="n"/>
      <c r="E210" s="34" t="n"/>
      <c r="F210" s="39" t="n"/>
      <c r="G210" s="38" t="n"/>
      <c r="H210" s="38" t="n"/>
      <c r="I210" s="51" t="n"/>
      <c r="J210" s="38" t="n"/>
      <c r="K210" s="34" t="n"/>
    </row>
    <row r="211">
      <c r="A211" s="33" t="n"/>
      <c r="B211" s="32" t="n"/>
      <c r="C211" s="32" t="n"/>
      <c r="D211" s="32" t="n"/>
      <c r="E211" s="32" t="n"/>
      <c r="F211" s="41" t="n"/>
      <c r="G211" s="40" t="n"/>
      <c r="H211" s="40" t="n"/>
      <c r="I211" s="52" t="n"/>
      <c r="J211" s="40" t="n"/>
      <c r="K211" s="32" t="n"/>
    </row>
    <row r="212">
      <c r="A212" s="35" t="n"/>
      <c r="B212" s="34" t="n"/>
      <c r="C212" s="34" t="n"/>
      <c r="D212" s="34" t="n"/>
      <c r="E212" s="34" t="n"/>
      <c r="F212" s="39" t="n"/>
      <c r="G212" s="38" t="n"/>
      <c r="H212" s="38" t="n"/>
      <c r="I212" s="51" t="n"/>
      <c r="J212" s="38" t="n"/>
      <c r="K212" s="34" t="n"/>
    </row>
    <row r="213">
      <c r="A213" s="33" t="n"/>
      <c r="B213" s="32" t="n"/>
      <c r="C213" s="32" t="n"/>
      <c r="D213" s="32" t="n"/>
      <c r="E213" s="32" t="n"/>
      <c r="F213" s="41" t="n"/>
      <c r="G213" s="40" t="n"/>
      <c r="H213" s="40" t="n"/>
      <c r="I213" s="52" t="n"/>
      <c r="J213" s="40" t="n"/>
      <c r="K213" s="32" t="n"/>
    </row>
    <row r="214">
      <c r="A214" s="35" t="n"/>
      <c r="B214" s="34" t="n"/>
      <c r="C214" s="34" t="n"/>
      <c r="D214" s="34" t="n"/>
      <c r="E214" s="34" t="n"/>
      <c r="F214" s="39" t="n"/>
      <c r="G214" s="38" t="n"/>
      <c r="H214" s="38" t="n"/>
      <c r="I214" s="51" t="n"/>
      <c r="J214" s="38" t="n"/>
      <c r="K214" s="34" t="n"/>
    </row>
    <row r="215">
      <c r="A215" s="33" t="n"/>
      <c r="B215" s="32" t="n"/>
      <c r="C215" s="32" t="n"/>
      <c r="D215" s="32" t="n"/>
      <c r="E215" s="32" t="n"/>
      <c r="F215" s="41" t="n"/>
      <c r="G215" s="40" t="n"/>
      <c r="H215" s="40" t="n"/>
      <c r="I215" s="52" t="n"/>
      <c r="J215" s="40" t="n"/>
      <c r="K215" s="32" t="n"/>
    </row>
    <row r="216">
      <c r="A216" s="35" t="n"/>
      <c r="B216" s="34" t="n"/>
      <c r="C216" s="34" t="n"/>
      <c r="D216" s="34" t="n"/>
      <c r="E216" s="34" t="n"/>
      <c r="F216" s="39" t="n"/>
      <c r="G216" s="38" t="n"/>
      <c r="H216" s="38" t="n"/>
      <c r="I216" s="51" t="n"/>
      <c r="J216" s="38" t="n"/>
      <c r="K216" s="34" t="n"/>
    </row>
    <row r="217">
      <c r="A217" s="33" t="n"/>
      <c r="B217" s="32" t="n"/>
      <c r="C217" s="32" t="n"/>
      <c r="D217" s="32" t="n"/>
      <c r="E217" s="32" t="n"/>
      <c r="F217" s="41" t="n"/>
      <c r="G217" s="40" t="n"/>
      <c r="H217" s="40" t="n"/>
      <c r="I217" s="52" t="n"/>
      <c r="J217" s="40" t="n"/>
      <c r="K217" s="32" t="n"/>
    </row>
    <row r="218">
      <c r="A218" s="35" t="n"/>
      <c r="B218" s="34" t="n"/>
      <c r="C218" s="34" t="n"/>
      <c r="D218" s="34" t="n"/>
      <c r="E218" s="34" t="n"/>
      <c r="F218" s="39" t="n"/>
      <c r="G218" s="38" t="n"/>
      <c r="H218" s="38" t="n"/>
      <c r="I218" s="51" t="n"/>
      <c r="J218" s="38" t="n"/>
      <c r="K218" s="34" t="n"/>
    </row>
    <row r="219">
      <c r="A219" s="33" t="n"/>
      <c r="B219" s="32" t="n"/>
      <c r="C219" s="32" t="n"/>
      <c r="D219" s="32" t="n"/>
      <c r="E219" s="32" t="n"/>
      <c r="F219" s="41" t="n"/>
      <c r="G219" s="40" t="n"/>
      <c r="H219" s="40" t="n"/>
      <c r="I219" s="52" t="n"/>
      <c r="J219" s="40" t="n"/>
      <c r="K219" s="32" t="n"/>
    </row>
    <row r="220">
      <c r="A220" s="35" t="n"/>
      <c r="B220" s="34" t="n"/>
      <c r="C220" s="34" t="n"/>
      <c r="D220" s="34" t="n"/>
      <c r="E220" s="34" t="n"/>
      <c r="F220" s="39" t="n"/>
      <c r="G220" s="38" t="n"/>
      <c r="H220" s="38" t="n"/>
      <c r="I220" s="51" t="n"/>
      <c r="J220" s="38" t="n"/>
      <c r="K220" s="34" t="n"/>
    </row>
    <row r="221">
      <c r="A221" s="33" t="n"/>
      <c r="B221" s="32" t="n"/>
      <c r="C221" s="32" t="n"/>
      <c r="D221" s="32" t="n"/>
      <c r="E221" s="32" t="n"/>
      <c r="F221" s="41" t="n"/>
      <c r="G221" s="40" t="n"/>
      <c r="H221" s="40" t="n"/>
      <c r="I221" s="52" t="n"/>
      <c r="J221" s="40" t="n"/>
      <c r="K221" s="32" t="n"/>
    </row>
    <row r="222">
      <c r="A222" s="35" t="n"/>
      <c r="B222" s="34" t="n"/>
      <c r="C222" s="34" t="n"/>
      <c r="D222" s="34" t="n"/>
      <c r="E222" s="34" t="n"/>
      <c r="F222" s="39" t="n"/>
      <c r="G222" s="38" t="n"/>
      <c r="H222" s="38" t="n"/>
      <c r="I222" s="51" t="n"/>
      <c r="J222" s="38" t="n"/>
      <c r="K222" s="34" t="n"/>
    </row>
    <row r="223">
      <c r="A223" s="33" t="n"/>
      <c r="B223" s="32" t="n"/>
      <c r="C223" s="32" t="n"/>
      <c r="D223" s="32" t="n"/>
      <c r="E223" s="32" t="n"/>
      <c r="F223" s="41" t="n"/>
      <c r="G223" s="40" t="n"/>
      <c r="H223" s="40" t="n"/>
      <c r="I223" s="52" t="n"/>
      <c r="J223" s="40" t="n"/>
      <c r="K223" s="32" t="n"/>
    </row>
    <row r="224">
      <c r="A224" s="35" t="n"/>
      <c r="B224" s="34" t="n"/>
      <c r="C224" s="34" t="n"/>
      <c r="D224" s="34" t="n"/>
      <c r="E224" s="34" t="n"/>
      <c r="F224" s="39" t="n"/>
      <c r="G224" s="38" t="n"/>
      <c r="H224" s="38" t="n"/>
      <c r="I224" s="51" t="n"/>
      <c r="J224" s="38" t="n"/>
      <c r="K224" s="34" t="n"/>
    </row>
    <row r="225">
      <c r="A225" s="33" t="n"/>
      <c r="B225" s="32" t="n"/>
      <c r="C225" s="32" t="n"/>
      <c r="D225" s="32" t="n"/>
      <c r="E225" s="32" t="n"/>
      <c r="F225" s="41" t="n"/>
      <c r="G225" s="40" t="n"/>
      <c r="H225" s="40" t="n"/>
      <c r="I225" s="52" t="n"/>
      <c r="J225" s="40" t="n"/>
      <c r="K225" s="32" t="n"/>
    </row>
    <row r="226">
      <c r="A226" s="35" t="n"/>
      <c r="B226" s="34" t="n"/>
      <c r="C226" s="34" t="n"/>
      <c r="D226" s="34" t="n"/>
      <c r="E226" s="34" t="n"/>
      <c r="F226" s="39" t="n"/>
      <c r="G226" s="38" t="n"/>
      <c r="H226" s="38" t="n"/>
      <c r="I226" s="51" t="n"/>
      <c r="J226" s="38" t="n"/>
      <c r="K226" s="34" t="n"/>
    </row>
    <row r="227">
      <c r="A227" s="33" t="n"/>
      <c r="B227" s="32" t="n"/>
      <c r="C227" s="32" t="n"/>
      <c r="D227" s="32" t="n"/>
      <c r="E227" s="32" t="n"/>
      <c r="F227" s="41" t="n"/>
      <c r="G227" s="40" t="n"/>
      <c r="H227" s="40" t="n"/>
      <c r="I227" s="52" t="n"/>
      <c r="J227" s="40" t="n"/>
      <c r="K227" s="32" t="n"/>
    </row>
    <row r="228">
      <c r="A228" s="35" t="n"/>
      <c r="B228" s="34" t="n"/>
      <c r="C228" s="34" t="n"/>
      <c r="D228" s="34" t="n"/>
      <c r="E228" s="34" t="n"/>
      <c r="F228" s="39" t="n"/>
      <c r="G228" s="38" t="n"/>
      <c r="H228" s="38" t="n"/>
      <c r="I228" s="51" t="n"/>
      <c r="J228" s="38" t="n"/>
      <c r="K228" s="34" t="n"/>
    </row>
    <row r="229">
      <c r="A229" s="33" t="n"/>
      <c r="B229" s="32" t="n"/>
      <c r="C229" s="32" t="n"/>
      <c r="D229" s="32" t="n"/>
      <c r="E229" s="32" t="n"/>
      <c r="F229" s="41" t="n"/>
      <c r="G229" s="40" t="n"/>
      <c r="H229" s="40" t="n"/>
      <c r="I229" s="52" t="n"/>
      <c r="J229" s="40" t="n"/>
      <c r="K229" s="32" t="n"/>
    </row>
    <row r="230">
      <c r="A230" s="35" t="n"/>
      <c r="B230" s="34" t="n"/>
      <c r="C230" s="34" t="n"/>
      <c r="D230" s="34" t="n"/>
      <c r="E230" s="34" t="n"/>
      <c r="F230" s="39" t="n"/>
      <c r="G230" s="38" t="n"/>
      <c r="H230" s="38" t="n"/>
      <c r="I230" s="51" t="n"/>
      <c r="J230" s="38" t="n"/>
      <c r="K230" s="34" t="n"/>
    </row>
    <row r="231">
      <c r="A231" s="33" t="n"/>
      <c r="B231" s="32" t="n"/>
      <c r="C231" s="32" t="n"/>
      <c r="D231" s="32" t="n"/>
      <c r="E231" s="32" t="n"/>
      <c r="F231" s="41" t="n"/>
      <c r="G231" s="40" t="n"/>
      <c r="H231" s="40" t="n"/>
      <c r="I231" s="52" t="n"/>
      <c r="J231" s="40" t="n"/>
      <c r="K231" s="32" t="n"/>
    </row>
    <row r="232">
      <c r="A232" s="35" t="n"/>
      <c r="B232" s="34" t="n"/>
      <c r="C232" s="34" t="n"/>
      <c r="D232" s="34" t="n"/>
      <c r="E232" s="34" t="n"/>
      <c r="F232" s="39" t="n"/>
      <c r="G232" s="38" t="n"/>
      <c r="H232" s="38" t="n"/>
      <c r="I232" s="51" t="n"/>
      <c r="J232" s="38" t="n"/>
      <c r="K232" s="34" t="n"/>
    </row>
    <row r="233">
      <c r="A233" s="33" t="n"/>
      <c r="B233" s="32" t="n"/>
      <c r="C233" s="32" t="n"/>
      <c r="D233" s="32" t="n"/>
      <c r="E233" s="32" t="n"/>
      <c r="F233" s="41" t="n"/>
      <c r="G233" s="40" t="n"/>
      <c r="H233" s="40" t="n"/>
      <c r="I233" s="52" t="n"/>
      <c r="J233" s="40" t="n"/>
      <c r="K233" s="32" t="n"/>
    </row>
    <row r="234">
      <c r="A234" s="35" t="n"/>
      <c r="B234" s="34" t="n"/>
      <c r="C234" s="34" t="n"/>
      <c r="D234" s="34" t="n"/>
      <c r="E234" s="34" t="n"/>
      <c r="F234" s="39" t="n"/>
      <c r="G234" s="38" t="n"/>
      <c r="H234" s="38" t="n"/>
      <c r="I234" s="51" t="n"/>
      <c r="J234" s="38" t="n"/>
      <c r="K234" s="34" t="n"/>
    </row>
    <row r="235">
      <c r="A235" s="33" t="n"/>
      <c r="B235" s="32" t="n"/>
      <c r="C235" s="32" t="n"/>
      <c r="D235" s="32" t="n"/>
      <c r="E235" s="32" t="n"/>
      <c r="F235" s="41" t="n"/>
      <c r="G235" s="40" t="n"/>
      <c r="H235" s="40" t="n"/>
      <c r="I235" s="52" t="n"/>
      <c r="J235" s="40" t="n"/>
      <c r="K235" s="32" t="n"/>
    </row>
    <row r="236">
      <c r="A236" s="35" t="n"/>
      <c r="B236" s="34" t="n"/>
      <c r="C236" s="34" t="n"/>
      <c r="D236" s="34" t="n"/>
      <c r="E236" s="34" t="n"/>
      <c r="F236" s="39" t="n"/>
      <c r="G236" s="38" t="n"/>
      <c r="H236" s="38" t="n"/>
      <c r="I236" s="51" t="n"/>
      <c r="J236" s="38" t="n"/>
      <c r="K236" s="34" t="n"/>
    </row>
    <row r="237">
      <c r="A237" s="33" t="n"/>
      <c r="B237" s="32" t="n"/>
      <c r="C237" s="32" t="n"/>
      <c r="D237" s="32" t="n"/>
      <c r="E237" s="32" t="n"/>
      <c r="F237" s="41" t="n"/>
      <c r="G237" s="40" t="n"/>
      <c r="H237" s="40" t="n"/>
      <c r="I237" s="52" t="n"/>
      <c r="J237" s="40" t="n"/>
      <c r="K237" s="32" t="n"/>
    </row>
    <row r="238">
      <c r="A238" s="35" t="n"/>
      <c r="B238" s="34" t="n"/>
      <c r="C238" s="34" t="n"/>
      <c r="D238" s="34" t="n"/>
      <c r="E238" s="34" t="n"/>
      <c r="F238" s="39" t="n"/>
      <c r="G238" s="38" t="n"/>
      <c r="H238" s="38" t="n"/>
      <c r="I238" s="51" t="n"/>
      <c r="J238" s="38" t="n"/>
      <c r="K238" s="34" t="n"/>
    </row>
    <row r="239">
      <c r="A239" s="33" t="n"/>
      <c r="B239" s="32" t="n"/>
      <c r="C239" s="32" t="n"/>
      <c r="D239" s="32" t="n"/>
      <c r="E239" s="32" t="n"/>
      <c r="F239" s="41" t="n"/>
      <c r="G239" s="40" t="n"/>
      <c r="H239" s="40" t="n"/>
      <c r="I239" s="52" t="n"/>
      <c r="J239" s="40" t="n"/>
      <c r="K239" s="32" t="n"/>
    </row>
    <row r="240">
      <c r="A240" s="35" t="n"/>
      <c r="B240" s="34" t="n"/>
      <c r="C240" s="34" t="n"/>
      <c r="D240" s="34" t="n"/>
      <c r="E240" s="34" t="n"/>
      <c r="F240" s="39" t="n"/>
      <c r="G240" s="38" t="n"/>
      <c r="H240" s="38" t="n"/>
      <c r="I240" s="51" t="n"/>
      <c r="J240" s="38" t="n"/>
      <c r="K240" s="34" t="n"/>
    </row>
    <row r="241">
      <c r="A241" s="33" t="n"/>
      <c r="B241" s="32" t="n"/>
      <c r="C241" s="32" t="n"/>
      <c r="D241" s="32" t="n"/>
      <c r="E241" s="32" t="n"/>
      <c r="F241" s="41" t="n"/>
      <c r="G241" s="40" t="n"/>
      <c r="H241" s="40" t="n"/>
      <c r="I241" s="52" t="n"/>
      <c r="J241" s="40" t="n"/>
      <c r="K241" s="32" t="n"/>
    </row>
    <row r="242">
      <c r="A242" s="35" t="n"/>
      <c r="B242" s="34" t="n"/>
      <c r="C242" s="34" t="n"/>
      <c r="D242" s="34" t="n"/>
      <c r="E242" s="34" t="n"/>
      <c r="F242" s="39" t="n"/>
      <c r="G242" s="38" t="n"/>
      <c r="H242" s="38" t="n"/>
      <c r="I242" s="51" t="n"/>
      <c r="J242" s="38" t="n"/>
      <c r="K242" s="34" t="n"/>
    </row>
    <row r="243">
      <c r="A243" s="33" t="n"/>
      <c r="B243" s="32" t="n"/>
      <c r="C243" s="32" t="n"/>
      <c r="D243" s="32" t="n"/>
      <c r="E243" s="32" t="n"/>
      <c r="F243" s="41" t="n"/>
      <c r="G243" s="40" t="n"/>
      <c r="H243" s="40" t="n"/>
      <c r="I243" s="52" t="n"/>
      <c r="J243" s="40" t="n"/>
      <c r="K243" s="32" t="n"/>
    </row>
    <row r="244">
      <c r="A244" s="35" t="n"/>
      <c r="B244" s="34" t="n"/>
      <c r="C244" s="34" t="n"/>
      <c r="D244" s="34" t="n"/>
      <c r="E244" s="34" t="n"/>
      <c r="F244" s="39" t="n"/>
      <c r="G244" s="38" t="n"/>
      <c r="H244" s="38" t="n"/>
      <c r="I244" s="51" t="n"/>
      <c r="J244" s="38" t="n"/>
      <c r="K244" s="34" t="n"/>
    </row>
    <row r="245">
      <c r="A245" s="33" t="n"/>
      <c r="B245" s="32" t="n"/>
      <c r="C245" s="32" t="n"/>
      <c r="D245" s="32" t="n"/>
      <c r="E245" s="32" t="n"/>
      <c r="F245" s="41" t="n"/>
      <c r="G245" s="40" t="n"/>
      <c r="H245" s="40" t="n"/>
      <c r="I245" s="52" t="n"/>
      <c r="J245" s="40" t="n"/>
      <c r="K245" s="32" t="n"/>
    </row>
    <row r="246">
      <c r="A246" s="35" t="n"/>
      <c r="B246" s="34" t="n"/>
      <c r="C246" s="34" t="n"/>
      <c r="D246" s="34" t="n"/>
      <c r="E246" s="34" t="n"/>
      <c r="F246" s="39" t="n"/>
      <c r="G246" s="38" t="n"/>
      <c r="H246" s="38" t="n"/>
      <c r="I246" s="51" t="n"/>
      <c r="J246" s="38" t="n"/>
      <c r="K246" s="34" t="n"/>
    </row>
    <row r="247">
      <c r="A247" s="33" t="n"/>
      <c r="B247" s="32" t="n"/>
      <c r="C247" s="32" t="n"/>
      <c r="D247" s="32" t="n"/>
      <c r="E247" s="32" t="n"/>
      <c r="F247" s="41" t="n"/>
      <c r="G247" s="40" t="n"/>
      <c r="H247" s="40" t="n"/>
      <c r="I247" s="52" t="n"/>
      <c r="J247" s="40" t="n"/>
      <c r="K247" s="32" t="n"/>
    </row>
    <row r="248">
      <c r="A248" s="35" t="n"/>
      <c r="B248" s="34" t="n"/>
      <c r="C248" s="34" t="n"/>
      <c r="D248" s="34" t="n"/>
      <c r="E248" s="34" t="n"/>
      <c r="F248" s="39" t="n"/>
      <c r="G248" s="38" t="n"/>
      <c r="H248" s="38" t="n"/>
      <c r="I248" s="51" t="n"/>
      <c r="J248" s="38" t="n"/>
      <c r="K248" s="34" t="n"/>
    </row>
    <row r="249">
      <c r="A249" s="33" t="n"/>
      <c r="B249" s="32" t="n"/>
      <c r="C249" s="32" t="n"/>
      <c r="D249" s="32" t="n"/>
      <c r="E249" s="32" t="n"/>
      <c r="F249" s="41" t="n"/>
      <c r="G249" s="40" t="n"/>
      <c r="H249" s="40" t="n"/>
      <c r="I249" s="52" t="n"/>
      <c r="J249" s="40" t="n"/>
      <c r="K249" s="32" t="n"/>
    </row>
    <row r="250">
      <c r="A250" s="35" t="n"/>
      <c r="B250" s="34" t="n"/>
      <c r="C250" s="34" t="n"/>
      <c r="D250" s="34" t="n"/>
      <c r="E250" s="34" t="n"/>
      <c r="F250" s="39" t="n"/>
      <c r="G250" s="38" t="n"/>
      <c r="H250" s="38" t="n"/>
      <c r="I250" s="51" t="n"/>
      <c r="J250" s="38" t="n"/>
      <c r="K250" s="34" t="n"/>
    </row>
    <row r="251">
      <c r="A251" s="33" t="n"/>
      <c r="B251" s="32" t="n"/>
      <c r="C251" s="32" t="n"/>
      <c r="D251" s="32" t="n"/>
      <c r="E251" s="32" t="n"/>
      <c r="F251" s="41" t="n"/>
      <c r="G251" s="40" t="n"/>
      <c r="H251" s="40" t="n"/>
      <c r="I251" s="52" t="n"/>
      <c r="J251" s="40" t="n"/>
      <c r="K251" s="32" t="n"/>
    </row>
    <row r="252">
      <c r="A252" s="35" t="n"/>
      <c r="B252" s="34" t="n"/>
      <c r="C252" s="34" t="n"/>
      <c r="D252" s="34" t="n"/>
      <c r="E252" s="34" t="n"/>
      <c r="F252" s="39" t="n"/>
      <c r="G252" s="38" t="n"/>
      <c r="H252" s="38" t="n"/>
      <c r="I252" s="51" t="n"/>
      <c r="J252" s="38" t="n"/>
      <c r="K252" s="34" t="n"/>
    </row>
    <row r="253">
      <c r="A253" s="33" t="n"/>
      <c r="B253" s="32" t="n"/>
      <c r="C253" s="32" t="n"/>
      <c r="D253" s="32" t="n"/>
      <c r="E253" s="32" t="n"/>
      <c r="F253" s="41" t="n"/>
      <c r="G253" s="40" t="n"/>
      <c r="H253" s="40" t="n"/>
      <c r="I253" s="52" t="n"/>
      <c r="J253" s="40" t="n"/>
      <c r="K253" s="32" t="n"/>
    </row>
    <row r="254">
      <c r="A254" s="35" t="n"/>
      <c r="B254" s="34" t="n"/>
      <c r="C254" s="34" t="n"/>
      <c r="D254" s="34" t="n"/>
      <c r="E254" s="34" t="n"/>
      <c r="F254" s="39" t="n"/>
      <c r="G254" s="38" t="n"/>
      <c r="H254" s="38" t="n"/>
      <c r="I254" s="51" t="n"/>
      <c r="J254" s="38" t="n"/>
      <c r="K254" s="34" t="n"/>
    </row>
    <row r="255">
      <c r="A255" s="33" t="n"/>
      <c r="B255" s="32" t="n"/>
      <c r="C255" s="32" t="n"/>
      <c r="D255" s="32" t="n"/>
      <c r="E255" s="32" t="n"/>
      <c r="F255" s="41" t="n"/>
      <c r="G255" s="40" t="n"/>
      <c r="H255" s="40" t="n"/>
      <c r="I255" s="52" t="n"/>
      <c r="J255" s="40" t="n"/>
      <c r="K255" s="32" t="n"/>
    </row>
    <row r="256">
      <c r="A256" s="35" t="n"/>
      <c r="B256" s="34" t="n"/>
      <c r="C256" s="34" t="n"/>
      <c r="D256" s="34" t="n"/>
      <c r="E256" s="34" t="n"/>
      <c r="F256" s="39" t="n"/>
      <c r="G256" s="38" t="n"/>
      <c r="H256" s="38" t="n"/>
      <c r="I256" s="51" t="n"/>
      <c r="J256" s="38" t="n"/>
      <c r="K256" s="34" t="n"/>
    </row>
    <row r="257">
      <c r="A257" s="33" t="n"/>
      <c r="B257" s="32" t="n"/>
      <c r="C257" s="32" t="n"/>
      <c r="D257" s="32" t="n"/>
      <c r="E257" s="32" t="n"/>
      <c r="F257" s="41" t="n"/>
      <c r="G257" s="40" t="n"/>
      <c r="H257" s="40" t="n"/>
      <c r="I257" s="52" t="n"/>
      <c r="J257" s="40" t="n"/>
      <c r="K257" s="32" t="n"/>
    </row>
    <row r="258">
      <c r="A258" s="35" t="n"/>
      <c r="B258" s="34" t="n"/>
      <c r="C258" s="34" t="n"/>
      <c r="D258" s="34" t="n"/>
      <c r="E258" s="34" t="n"/>
      <c r="F258" s="39" t="n"/>
      <c r="G258" s="38" t="n"/>
      <c r="H258" s="38" t="n"/>
      <c r="I258" s="51" t="n"/>
      <c r="J258" s="38" t="n"/>
      <c r="K258" s="34" t="n"/>
    </row>
    <row r="259">
      <c r="A259" s="33" t="n"/>
      <c r="B259" s="32" t="n"/>
      <c r="C259" s="32" t="n"/>
      <c r="D259" s="32" t="n"/>
      <c r="E259" s="32" t="n"/>
      <c r="F259" s="41" t="n"/>
      <c r="G259" s="40" t="n"/>
      <c r="H259" s="40" t="n"/>
      <c r="I259" s="52" t="n"/>
      <c r="J259" s="40" t="n"/>
      <c r="K259" s="32" t="n"/>
    </row>
    <row r="260">
      <c r="A260" s="35" t="n"/>
      <c r="B260" s="34" t="n"/>
      <c r="C260" s="34" t="n"/>
      <c r="D260" s="34" t="n"/>
      <c r="E260" s="34" t="n"/>
      <c r="F260" s="39" t="n"/>
      <c r="G260" s="38" t="n"/>
      <c r="H260" s="38" t="n"/>
      <c r="I260" s="51" t="n"/>
      <c r="J260" s="38" t="n"/>
      <c r="K260" s="34" t="n"/>
    </row>
    <row r="261">
      <c r="A261" s="33" t="n"/>
      <c r="B261" s="32" t="n"/>
      <c r="C261" s="32" t="n"/>
      <c r="D261" s="32" t="n"/>
      <c r="E261" s="32" t="n"/>
      <c r="F261" s="41" t="n"/>
      <c r="G261" s="40" t="n"/>
      <c r="H261" s="40" t="n"/>
      <c r="I261" s="52" t="n"/>
      <c r="J261" s="40" t="n"/>
      <c r="K261" s="32" t="n"/>
    </row>
    <row r="262">
      <c r="A262" s="35" t="n"/>
      <c r="B262" s="34" t="n"/>
      <c r="C262" s="34" t="n"/>
      <c r="D262" s="34" t="n"/>
      <c r="E262" s="34" t="n"/>
      <c r="F262" s="39" t="n"/>
      <c r="G262" s="38" t="n"/>
      <c r="H262" s="38" t="n"/>
      <c r="I262" s="51" t="n"/>
      <c r="J262" s="38" t="n"/>
      <c r="K262" s="34" t="n"/>
    </row>
    <row r="263">
      <c r="A263" s="33" t="n"/>
      <c r="B263" s="32" t="n"/>
      <c r="C263" s="32" t="n"/>
      <c r="D263" s="32" t="n"/>
      <c r="E263" s="32" t="n"/>
      <c r="F263" s="41" t="n"/>
      <c r="G263" s="40" t="n"/>
      <c r="H263" s="40" t="n"/>
      <c r="I263" s="52" t="n"/>
      <c r="J263" s="40" t="n"/>
      <c r="K263" s="32" t="n"/>
    </row>
    <row r="264">
      <c r="A264" s="35" t="n"/>
      <c r="B264" s="34" t="n"/>
      <c r="C264" s="34" t="n"/>
      <c r="D264" s="34" t="n"/>
      <c r="E264" s="34" t="n"/>
      <c r="F264" s="39" t="n"/>
      <c r="G264" s="38" t="n"/>
      <c r="H264" s="38" t="n"/>
      <c r="I264" s="51" t="n"/>
      <c r="J264" s="38" t="n"/>
      <c r="K264" s="34" t="n"/>
    </row>
    <row r="265">
      <c r="A265" s="33" t="n"/>
      <c r="B265" s="32" t="n"/>
      <c r="C265" s="32" t="n"/>
      <c r="D265" s="32" t="n"/>
      <c r="E265" s="32" t="n"/>
      <c r="F265" s="41" t="n"/>
      <c r="G265" s="40" t="n"/>
      <c r="H265" s="40" t="n"/>
      <c r="I265" s="52" t="n"/>
      <c r="J265" s="40" t="n"/>
      <c r="K265" s="32" t="n"/>
    </row>
    <row r="266">
      <c r="A266" s="35" t="n"/>
      <c r="B266" s="34" t="n"/>
      <c r="C266" s="34" t="n"/>
      <c r="D266" s="34" t="n"/>
      <c r="E266" s="34" t="n"/>
      <c r="F266" s="39" t="n"/>
      <c r="G266" s="38" t="n"/>
      <c r="H266" s="38" t="n"/>
      <c r="I266" s="51" t="n"/>
      <c r="J266" s="38" t="n"/>
      <c r="K266" s="34" t="n"/>
    </row>
    <row r="267">
      <c r="A267" s="33" t="n"/>
      <c r="B267" s="32" t="n"/>
      <c r="C267" s="32" t="n"/>
      <c r="D267" s="32" t="n"/>
      <c r="E267" s="32" t="n"/>
      <c r="F267" s="41" t="n"/>
      <c r="G267" s="40" t="n"/>
      <c r="H267" s="40" t="n"/>
      <c r="I267" s="52" t="n"/>
      <c r="J267" s="40" t="n"/>
      <c r="K267" s="32" t="n"/>
    </row>
    <row r="268">
      <c r="A268" s="35" t="n"/>
      <c r="B268" s="34" t="n"/>
      <c r="C268" s="34" t="n"/>
      <c r="D268" s="34" t="n"/>
      <c r="E268" s="34" t="n"/>
      <c r="F268" s="39" t="n"/>
      <c r="G268" s="38" t="n"/>
      <c r="H268" s="38" t="n"/>
      <c r="I268" s="51" t="n"/>
      <c r="J268" s="38" t="n"/>
      <c r="K268" s="34" t="n"/>
    </row>
    <row r="269">
      <c r="A269" s="33" t="n"/>
      <c r="B269" s="32" t="n"/>
      <c r="C269" s="32" t="n"/>
      <c r="D269" s="32" t="n"/>
      <c r="E269" s="32" t="n"/>
      <c r="F269" s="41" t="n"/>
      <c r="G269" s="40" t="n"/>
      <c r="H269" s="40" t="n"/>
      <c r="I269" s="52" t="n"/>
      <c r="J269" s="40" t="n"/>
      <c r="K269" s="32" t="n"/>
    </row>
    <row r="270">
      <c r="A270" s="35" t="n"/>
      <c r="B270" s="34" t="n"/>
      <c r="C270" s="34" t="n"/>
      <c r="D270" s="34" t="n"/>
      <c r="E270" s="34" t="n"/>
      <c r="F270" s="39" t="n"/>
      <c r="G270" s="38" t="n"/>
      <c r="H270" s="38" t="n"/>
      <c r="I270" s="51" t="n"/>
      <c r="J270" s="38" t="n"/>
      <c r="K270" s="34" t="n"/>
    </row>
    <row r="271">
      <c r="A271" s="33" t="n"/>
      <c r="B271" s="32" t="n"/>
      <c r="C271" s="32" t="n"/>
      <c r="D271" s="32" t="n"/>
      <c r="E271" s="32" t="n"/>
      <c r="F271" s="41" t="n"/>
      <c r="G271" s="40" t="n"/>
      <c r="H271" s="40" t="n"/>
      <c r="I271" s="52" t="n"/>
      <c r="J271" s="40" t="n"/>
      <c r="K271" s="32" t="n"/>
    </row>
    <row r="272">
      <c r="A272" s="35" t="n"/>
      <c r="B272" s="34" t="n"/>
      <c r="C272" s="34" t="n"/>
      <c r="D272" s="34" t="n"/>
      <c r="E272" s="34" t="n"/>
      <c r="F272" s="39" t="n"/>
      <c r="G272" s="38" t="n"/>
      <c r="H272" s="38" t="n"/>
      <c r="I272" s="51" t="n"/>
      <c r="J272" s="38" t="n"/>
      <c r="K272" s="34" t="n"/>
    </row>
    <row r="273">
      <c r="A273" s="33" t="n"/>
      <c r="B273" s="32" t="n"/>
      <c r="C273" s="32" t="n"/>
      <c r="D273" s="32" t="n"/>
      <c r="E273" s="32" t="n"/>
      <c r="F273" s="41" t="n"/>
      <c r="G273" s="40" t="n"/>
      <c r="H273" s="40" t="n"/>
      <c r="I273" s="52" t="n"/>
      <c r="J273" s="40" t="n"/>
      <c r="K273" s="32" t="n"/>
    </row>
    <row r="274">
      <c r="A274" s="35" t="n"/>
      <c r="B274" s="34" t="n"/>
      <c r="C274" s="34" t="n"/>
      <c r="D274" s="34" t="n"/>
      <c r="E274" s="34" t="n"/>
      <c r="F274" s="39" t="n"/>
      <c r="G274" s="38" t="n"/>
      <c r="H274" s="38" t="n"/>
      <c r="I274" s="51" t="n"/>
      <c r="J274" s="38" t="n"/>
      <c r="K274" s="34" t="n"/>
    </row>
    <row r="275">
      <c r="A275" s="33" t="n"/>
      <c r="B275" s="32" t="n"/>
      <c r="C275" s="32" t="n"/>
      <c r="D275" s="32" t="n"/>
      <c r="E275" s="32" t="n"/>
      <c r="F275" s="41" t="n"/>
      <c r="G275" s="40" t="n"/>
      <c r="H275" s="40" t="n"/>
      <c r="I275" s="52" t="n"/>
      <c r="J275" s="40" t="n"/>
      <c r="K275" s="32" t="n"/>
    </row>
    <row r="276">
      <c r="A276" s="35" t="n"/>
      <c r="B276" s="34" t="n"/>
      <c r="C276" s="34" t="n"/>
      <c r="D276" s="34" t="n"/>
      <c r="E276" s="34" t="n"/>
      <c r="F276" s="39" t="n"/>
      <c r="G276" s="38" t="n"/>
      <c r="H276" s="38" t="n"/>
      <c r="I276" s="51" t="n"/>
      <c r="J276" s="38" t="n"/>
      <c r="K276" s="34" t="n"/>
    </row>
    <row r="277">
      <c r="A277" s="33" t="n"/>
      <c r="B277" s="32" t="n"/>
      <c r="C277" s="32" t="n"/>
      <c r="D277" s="32" t="n"/>
      <c r="E277" s="32" t="n"/>
      <c r="F277" s="41" t="n"/>
      <c r="G277" s="40" t="n"/>
      <c r="H277" s="40" t="n"/>
      <c r="I277" s="52" t="n"/>
      <c r="J277" s="40" t="n"/>
      <c r="K277" s="32" t="n"/>
    </row>
    <row r="278">
      <c r="A278" s="35" t="n"/>
      <c r="B278" s="34" t="n"/>
      <c r="C278" s="34" t="n"/>
      <c r="D278" s="34" t="n"/>
      <c r="E278" s="34" t="n"/>
      <c r="F278" s="39" t="n"/>
      <c r="G278" s="38" t="n"/>
      <c r="H278" s="38" t="n"/>
      <c r="I278" s="51" t="n"/>
      <c r="J278" s="38" t="n"/>
      <c r="K278" s="34" t="n"/>
    </row>
    <row r="279">
      <c r="A279" s="33" t="n"/>
      <c r="B279" s="32" t="n"/>
      <c r="C279" s="32" t="n"/>
      <c r="D279" s="32" t="n"/>
      <c r="E279" s="32" t="n"/>
      <c r="F279" s="41" t="n"/>
      <c r="G279" s="40" t="n"/>
      <c r="H279" s="40" t="n"/>
      <c r="I279" s="52" t="n"/>
      <c r="J279" s="40" t="n"/>
      <c r="K279" s="32" t="n"/>
    </row>
    <row r="280">
      <c r="A280" s="35" t="n"/>
      <c r="B280" s="34" t="n"/>
      <c r="C280" s="34" t="n"/>
      <c r="D280" s="34" t="n"/>
      <c r="E280" s="34" t="n"/>
      <c r="F280" s="39" t="n"/>
      <c r="G280" s="38" t="n"/>
      <c r="H280" s="38" t="n"/>
      <c r="I280" s="51" t="n"/>
      <c r="J280" s="38" t="n"/>
      <c r="K280" s="34" t="n"/>
    </row>
    <row r="281">
      <c r="A281" s="33" t="n"/>
      <c r="B281" s="32" t="n"/>
      <c r="C281" s="32" t="n"/>
      <c r="D281" s="32" t="n"/>
      <c r="E281" s="32" t="n"/>
      <c r="F281" s="41" t="n"/>
      <c r="G281" s="40" t="n"/>
      <c r="H281" s="40" t="n"/>
      <c r="I281" s="52" t="n"/>
      <c r="J281" s="40" t="n"/>
      <c r="K281" s="32" t="n"/>
    </row>
    <row r="282">
      <c r="A282" s="35" t="n"/>
      <c r="B282" s="34" t="n"/>
      <c r="C282" s="34" t="n"/>
      <c r="D282" s="34" t="n"/>
      <c r="E282" s="34" t="n"/>
      <c r="F282" s="39" t="n"/>
      <c r="G282" s="38" t="n"/>
      <c r="H282" s="38" t="n"/>
      <c r="I282" s="51" t="n"/>
      <c r="J282" s="38" t="n"/>
      <c r="K282" s="34" t="n"/>
    </row>
    <row r="283">
      <c r="A283" s="33" t="n"/>
      <c r="B283" s="32" t="n"/>
      <c r="C283" s="32" t="n"/>
      <c r="D283" s="32" t="n"/>
      <c r="E283" s="32" t="n"/>
      <c r="F283" s="41" t="n"/>
      <c r="G283" s="40" t="n"/>
      <c r="H283" s="40" t="n"/>
      <c r="I283" s="52" t="n"/>
      <c r="J283" s="40" t="n"/>
      <c r="K283" s="32" t="n"/>
    </row>
    <row r="284">
      <c r="A284" s="35" t="n"/>
      <c r="B284" s="34" t="n"/>
      <c r="C284" s="34" t="n"/>
      <c r="D284" s="34" t="n"/>
      <c r="E284" s="34" t="n"/>
      <c r="F284" s="39" t="n"/>
      <c r="G284" s="38" t="n"/>
      <c r="H284" s="38" t="n"/>
      <c r="I284" s="51" t="n"/>
      <c r="J284" s="38" t="n"/>
      <c r="K284" s="34" t="n"/>
    </row>
    <row r="285">
      <c r="A285" s="33" t="n"/>
      <c r="B285" s="32" t="n"/>
      <c r="C285" s="32" t="n"/>
      <c r="D285" s="32" t="n"/>
      <c r="E285" s="32" t="n"/>
      <c r="F285" s="41" t="n"/>
      <c r="G285" s="40" t="n"/>
      <c r="H285" s="40" t="n"/>
      <c r="I285" s="52" t="n"/>
      <c r="J285" s="40" t="n"/>
      <c r="K285" s="32" t="n"/>
    </row>
    <row r="286">
      <c r="A286" s="35" t="n"/>
      <c r="B286" s="34" t="n"/>
      <c r="C286" s="34" t="n"/>
      <c r="D286" s="34" t="n"/>
      <c r="E286" s="34" t="n"/>
      <c r="F286" s="39" t="n"/>
      <c r="G286" s="38" t="n"/>
      <c r="H286" s="38" t="n"/>
      <c r="I286" s="51" t="n"/>
      <c r="J286" s="38" t="n"/>
      <c r="K286" s="34" t="n"/>
    </row>
    <row r="287">
      <c r="A287" s="33" t="n"/>
      <c r="B287" s="32" t="n"/>
      <c r="C287" s="32" t="n"/>
      <c r="D287" s="32" t="n"/>
      <c r="E287" s="32" t="n"/>
      <c r="F287" s="41" t="n"/>
      <c r="G287" s="40" t="n"/>
      <c r="H287" s="40" t="n"/>
      <c r="I287" s="52" t="n"/>
      <c r="J287" s="40" t="n"/>
      <c r="K287" s="32" t="n"/>
    </row>
    <row r="288">
      <c r="A288" s="35" t="n"/>
      <c r="B288" s="34" t="n"/>
      <c r="C288" s="34" t="n"/>
      <c r="D288" s="34" t="n"/>
      <c r="E288" s="34" t="n"/>
      <c r="F288" s="39" t="n"/>
      <c r="G288" s="38" t="n"/>
      <c r="H288" s="38" t="n"/>
      <c r="I288" s="51" t="n"/>
      <c r="J288" s="38" t="n"/>
      <c r="K288" s="34" t="n"/>
    </row>
    <row r="289">
      <c r="A289" s="33" t="n"/>
      <c r="B289" s="32" t="n"/>
      <c r="C289" s="32" t="n"/>
      <c r="D289" s="32" t="n"/>
      <c r="E289" s="32" t="n"/>
      <c r="F289" s="41" t="n"/>
      <c r="G289" s="40" t="n"/>
      <c r="H289" s="40" t="n"/>
      <c r="I289" s="52" t="n"/>
      <c r="J289" s="40" t="n"/>
      <c r="K289" s="32" t="n"/>
    </row>
    <row r="290">
      <c r="A290" s="35" t="n"/>
      <c r="B290" s="34" t="n"/>
      <c r="C290" s="34" t="n"/>
      <c r="D290" s="34" t="n"/>
      <c r="E290" s="34" t="n"/>
      <c r="F290" s="39" t="n"/>
      <c r="G290" s="38" t="n"/>
      <c r="H290" s="38" t="n"/>
      <c r="I290" s="51" t="n"/>
      <c r="J290" s="38" t="n"/>
      <c r="K290" s="34" t="n"/>
    </row>
    <row r="291">
      <c r="A291" s="33" t="n"/>
      <c r="B291" s="32" t="n"/>
      <c r="C291" s="32" t="n"/>
      <c r="D291" s="32" t="n"/>
      <c r="E291" s="32" t="n"/>
      <c r="F291" s="41" t="n"/>
      <c r="G291" s="40" t="n"/>
      <c r="H291" s="40" t="n"/>
      <c r="I291" s="52" t="n"/>
      <c r="J291" s="40" t="n"/>
      <c r="K291" s="32" t="n"/>
    </row>
    <row r="292">
      <c r="A292" s="35" t="n"/>
      <c r="B292" s="34" t="n"/>
      <c r="C292" s="34" t="n"/>
      <c r="D292" s="34" t="n"/>
      <c r="E292" s="34" t="n"/>
      <c r="F292" s="39" t="n"/>
      <c r="G292" s="38" t="n"/>
      <c r="H292" s="38" t="n"/>
      <c r="I292" s="51" t="n"/>
      <c r="J292" s="38" t="n"/>
      <c r="K292" s="34" t="n"/>
    </row>
    <row r="293">
      <c r="A293" s="33" t="n"/>
      <c r="B293" s="32" t="n"/>
      <c r="C293" s="32" t="n"/>
      <c r="D293" s="32" t="n"/>
      <c r="E293" s="32" t="n"/>
      <c r="F293" s="41" t="n"/>
      <c r="G293" s="40" t="n"/>
      <c r="H293" s="40" t="n"/>
      <c r="I293" s="52" t="n"/>
      <c r="J293" s="40" t="n"/>
      <c r="K293" s="32" t="n"/>
    </row>
    <row r="294">
      <c r="A294" s="35" t="n"/>
      <c r="B294" s="34" t="n"/>
      <c r="C294" s="34" t="n"/>
      <c r="D294" s="34" t="n"/>
      <c r="E294" s="34" t="n"/>
      <c r="F294" s="39" t="n"/>
      <c r="G294" s="38" t="n"/>
      <c r="H294" s="38" t="n"/>
      <c r="I294" s="51" t="n"/>
      <c r="J294" s="38" t="n"/>
      <c r="K294" s="34" t="n"/>
    </row>
    <row r="295">
      <c r="A295" s="33" t="n"/>
      <c r="B295" s="32" t="n"/>
      <c r="C295" s="32" t="n"/>
      <c r="D295" s="32" t="n"/>
      <c r="E295" s="32" t="n"/>
      <c r="F295" s="41" t="n"/>
      <c r="G295" s="40" t="n"/>
      <c r="H295" s="40" t="n"/>
      <c r="I295" s="52" t="n"/>
      <c r="J295" s="40" t="n"/>
      <c r="K295" s="32" t="n"/>
    </row>
    <row r="296">
      <c r="A296" s="35" t="n"/>
      <c r="B296" s="34" t="n"/>
      <c r="C296" s="34" t="n"/>
      <c r="D296" s="34" t="n"/>
      <c r="E296" s="34" t="n"/>
      <c r="F296" s="39" t="n"/>
      <c r="G296" s="38" t="n"/>
      <c r="H296" s="38" t="n"/>
      <c r="I296" s="51" t="n"/>
      <c r="J296" s="38" t="n"/>
      <c r="K296" s="34" t="n"/>
    </row>
    <row r="297">
      <c r="A297" s="33" t="n"/>
      <c r="B297" s="32" t="n"/>
      <c r="C297" s="32" t="n"/>
      <c r="D297" s="32" t="n"/>
      <c r="E297" s="32" t="n"/>
      <c r="F297" s="41" t="n"/>
      <c r="G297" s="40" t="n"/>
      <c r="H297" s="40" t="n"/>
      <c r="I297" s="52" t="n"/>
      <c r="J297" s="40" t="n"/>
      <c r="K297" s="32" t="n"/>
    </row>
    <row r="298">
      <c r="A298" s="35" t="n"/>
      <c r="B298" s="34" t="n"/>
      <c r="C298" s="34" t="n"/>
      <c r="D298" s="34" t="n"/>
      <c r="E298" s="34" t="n"/>
      <c r="F298" s="39" t="n"/>
      <c r="G298" s="38" t="n"/>
      <c r="H298" s="38" t="n"/>
      <c r="I298" s="51" t="n"/>
      <c r="J298" s="38" t="n"/>
      <c r="K298" s="34" t="n"/>
    </row>
    <row r="299">
      <c r="A299" s="33" t="n"/>
      <c r="B299" s="32" t="n"/>
      <c r="C299" s="32" t="n"/>
      <c r="D299" s="32" t="n"/>
      <c r="E299" s="32" t="n"/>
      <c r="F299" s="41" t="n"/>
      <c r="G299" s="40" t="n"/>
      <c r="H299" s="40" t="n"/>
      <c r="I299" s="52" t="n"/>
      <c r="J299" s="40" t="n"/>
      <c r="K299" s="32" t="n"/>
    </row>
    <row r="300">
      <c r="A300" s="35" t="n"/>
      <c r="B300" s="34" t="n"/>
      <c r="C300" s="34" t="n"/>
      <c r="D300" s="34" t="n"/>
      <c r="E300" s="34" t="n"/>
      <c r="F300" s="39" t="n"/>
      <c r="G300" s="38" t="n"/>
      <c r="H300" s="38" t="n"/>
      <c r="I300" s="51" t="n"/>
      <c r="J300" s="38" t="n"/>
      <c r="K300" s="34" t="n"/>
    </row>
    <row r="301">
      <c r="A301" s="33" t="n"/>
      <c r="B301" s="32" t="n"/>
      <c r="C301" s="32" t="n"/>
      <c r="D301" s="32" t="n"/>
      <c r="E301" s="32" t="n"/>
      <c r="F301" s="41" t="n"/>
      <c r="G301" s="40" t="n"/>
      <c r="H301" s="40" t="n"/>
      <c r="I301" s="52" t="n"/>
      <c r="J301" s="40" t="n"/>
      <c r="K301" s="32" t="n"/>
    </row>
    <row r="302">
      <c r="A302" s="35" t="n"/>
      <c r="B302" s="34" t="n"/>
      <c r="C302" s="34" t="n"/>
      <c r="D302" s="34" t="n"/>
      <c r="E302" s="34" t="n"/>
      <c r="F302" s="39" t="n"/>
      <c r="G302" s="38" t="n"/>
      <c r="H302" s="38" t="n"/>
      <c r="I302" s="51" t="n"/>
      <c r="J302" s="38" t="n"/>
      <c r="K302" s="34" t="n"/>
    </row>
    <row r="303">
      <c r="A303" s="33" t="n"/>
      <c r="B303" s="32" t="n"/>
      <c r="C303" s="32" t="n"/>
      <c r="D303" s="32" t="n"/>
      <c r="E303" s="32" t="n"/>
      <c r="F303" s="41" t="n"/>
      <c r="G303" s="40" t="n"/>
      <c r="H303" s="40" t="n"/>
      <c r="I303" s="52" t="n"/>
      <c r="J303" s="40" t="n"/>
      <c r="K303" s="32" t="n"/>
    </row>
    <row r="304">
      <c r="A304" s="35" t="n"/>
      <c r="B304" s="34" t="n"/>
      <c r="C304" s="34" t="n"/>
      <c r="D304" s="34" t="n"/>
      <c r="E304" s="34" t="n"/>
      <c r="F304" s="39" t="n"/>
      <c r="G304" s="38" t="n"/>
      <c r="H304" s="38" t="n"/>
      <c r="I304" s="51" t="n"/>
      <c r="J304" s="38" t="n"/>
      <c r="K304" s="34" t="n"/>
    </row>
    <row r="305">
      <c r="A305" s="33" t="n"/>
      <c r="B305" s="32" t="n"/>
      <c r="C305" s="32" t="n"/>
      <c r="D305" s="32" t="n"/>
      <c r="E305" s="32" t="n"/>
      <c r="F305" s="41" t="n"/>
      <c r="G305" s="40" t="n"/>
      <c r="H305" s="40" t="n"/>
      <c r="I305" s="52" t="n"/>
      <c r="J305" s="40" t="n"/>
      <c r="K305" s="32" t="n"/>
    </row>
    <row r="306">
      <c r="A306" s="35" t="n"/>
      <c r="B306" s="34" t="n"/>
      <c r="C306" s="34" t="n"/>
      <c r="D306" s="34" t="n"/>
      <c r="E306" s="34" t="n"/>
      <c r="F306" s="39" t="n"/>
      <c r="G306" s="38" t="n"/>
      <c r="H306" s="38" t="n"/>
      <c r="I306" s="51" t="n"/>
      <c r="J306" s="38" t="n"/>
      <c r="K306" s="34" t="n"/>
    </row>
    <row r="307">
      <c r="A307" s="33" t="n"/>
      <c r="B307" s="32" t="n"/>
      <c r="C307" s="32" t="n"/>
      <c r="D307" s="32" t="n"/>
      <c r="E307" s="32" t="n"/>
      <c r="F307" s="41" t="n"/>
      <c r="G307" s="40" t="n"/>
      <c r="H307" s="40" t="n"/>
      <c r="I307" s="52" t="n"/>
      <c r="J307" s="40" t="n"/>
      <c r="K307" s="32" t="n"/>
    </row>
    <row r="308">
      <c r="A308" s="35" t="n"/>
      <c r="B308" s="34" t="n"/>
      <c r="C308" s="34" t="n"/>
      <c r="D308" s="34" t="n"/>
      <c r="E308" s="34" t="n"/>
      <c r="F308" s="39" t="n"/>
      <c r="G308" s="38" t="n"/>
      <c r="H308" s="38" t="n"/>
      <c r="I308" s="51" t="n"/>
      <c r="J308" s="38" t="n"/>
      <c r="K308" s="34" t="n"/>
    </row>
    <row r="309">
      <c r="A309" s="33" t="n"/>
      <c r="B309" s="32" t="n"/>
      <c r="C309" s="32" t="n"/>
      <c r="D309" s="32" t="n"/>
      <c r="E309" s="32" t="n"/>
      <c r="F309" s="41" t="n"/>
      <c r="G309" s="40" t="n"/>
      <c r="H309" s="40" t="n"/>
      <c r="I309" s="52" t="n"/>
      <c r="J309" s="40" t="n"/>
      <c r="K309" s="32" t="n"/>
    </row>
    <row r="310">
      <c r="A310" s="35" t="n"/>
      <c r="B310" s="34" t="n"/>
      <c r="C310" s="34" t="n"/>
      <c r="D310" s="34" t="n"/>
      <c r="E310" s="34" t="n"/>
      <c r="F310" s="39" t="n"/>
      <c r="G310" s="38" t="n"/>
      <c r="H310" s="38" t="n"/>
      <c r="I310" s="51" t="n"/>
      <c r="J310" s="38" t="n"/>
      <c r="K310" s="34" t="n"/>
    </row>
    <row r="311">
      <c r="A311" s="33" t="n"/>
      <c r="B311" s="32" t="n"/>
      <c r="C311" s="32" t="n"/>
      <c r="D311" s="32" t="n"/>
      <c r="E311" s="32" t="n"/>
      <c r="F311" s="41" t="n"/>
      <c r="G311" s="40" t="n"/>
      <c r="H311" s="40" t="n"/>
      <c r="I311" s="52" t="n"/>
      <c r="J311" s="40" t="n"/>
      <c r="K311" s="32" t="n"/>
    </row>
    <row r="312">
      <c r="A312" s="35" t="n"/>
      <c r="B312" s="34" t="n"/>
      <c r="C312" s="34" t="n"/>
      <c r="D312" s="34" t="n"/>
      <c r="E312" s="34" t="n"/>
      <c r="F312" s="39" t="n"/>
      <c r="G312" s="38" t="n"/>
      <c r="H312" s="38" t="n"/>
      <c r="I312" s="51" t="n"/>
      <c r="J312" s="38" t="n"/>
      <c r="K312" s="34" t="n"/>
    </row>
    <row r="313">
      <c r="A313" s="33" t="n"/>
      <c r="B313" s="32" t="n"/>
      <c r="C313" s="32" t="n"/>
      <c r="D313" s="32" t="n"/>
      <c r="E313" s="32" t="n"/>
      <c r="F313" s="41" t="n"/>
      <c r="G313" s="40" t="n"/>
      <c r="H313" s="40" t="n"/>
      <c r="I313" s="52" t="n"/>
      <c r="J313" s="40" t="n"/>
      <c r="K313" s="32" t="n"/>
    </row>
    <row r="314">
      <c r="A314" s="35" t="n"/>
      <c r="B314" s="34" t="n"/>
      <c r="C314" s="34" t="n"/>
      <c r="D314" s="34" t="n"/>
      <c r="E314" s="34" t="n"/>
      <c r="F314" s="39" t="n"/>
      <c r="G314" s="38" t="n"/>
      <c r="H314" s="38" t="n"/>
      <c r="I314" s="51" t="n"/>
      <c r="J314" s="38" t="n"/>
      <c r="K314" s="34" t="n"/>
    </row>
    <row r="315">
      <c r="A315" s="33" t="n"/>
      <c r="B315" s="32" t="n"/>
      <c r="C315" s="32" t="n"/>
      <c r="D315" s="32" t="n"/>
      <c r="E315" s="32" t="n"/>
      <c r="F315" s="41" t="n"/>
      <c r="G315" s="40" t="n"/>
      <c r="H315" s="40" t="n"/>
      <c r="I315" s="52" t="n"/>
      <c r="J315" s="40" t="n"/>
      <c r="K315" s="32" t="n"/>
    </row>
    <row r="316">
      <c r="A316" s="35" t="n"/>
      <c r="B316" s="34" t="n"/>
      <c r="C316" s="34" t="n"/>
      <c r="D316" s="34" t="n"/>
      <c r="E316" s="34" t="n"/>
      <c r="F316" s="39" t="n"/>
      <c r="G316" s="38" t="n"/>
      <c r="H316" s="38" t="n"/>
      <c r="I316" s="51" t="n"/>
      <c r="J316" s="38" t="n"/>
      <c r="K316" s="34" t="n"/>
    </row>
    <row r="317">
      <c r="A317" s="33" t="n"/>
      <c r="B317" s="32" t="n"/>
      <c r="C317" s="32" t="n"/>
      <c r="D317" s="32" t="n"/>
      <c r="E317" s="32" t="n"/>
      <c r="F317" s="41" t="n"/>
      <c r="G317" s="40" t="n"/>
      <c r="H317" s="40" t="n"/>
      <c r="I317" s="52" t="n"/>
      <c r="J317" s="40" t="n"/>
      <c r="K317" s="32" t="n"/>
    </row>
    <row r="318">
      <c r="A318" s="35" t="n"/>
      <c r="B318" s="34" t="n"/>
      <c r="C318" s="34" t="n"/>
      <c r="D318" s="34" t="n"/>
      <c r="E318" s="34" t="n"/>
      <c r="F318" s="39" t="n"/>
      <c r="G318" s="38" t="n"/>
      <c r="H318" s="38" t="n"/>
      <c r="I318" s="51" t="n"/>
      <c r="J318" s="38" t="n"/>
      <c r="K318" s="34" t="n"/>
    </row>
    <row r="319">
      <c r="A319" s="33" t="n"/>
      <c r="B319" s="32" t="n"/>
      <c r="C319" s="32" t="n"/>
      <c r="D319" s="32" t="n"/>
      <c r="E319" s="32" t="n"/>
      <c r="F319" s="41" t="n"/>
      <c r="G319" s="40" t="n"/>
      <c r="H319" s="40" t="n"/>
      <c r="I319" s="52" t="n"/>
      <c r="J319" s="40" t="n"/>
      <c r="K319" s="32" t="n"/>
    </row>
    <row r="320">
      <c r="A320" s="35" t="n"/>
      <c r="B320" s="34" t="n"/>
      <c r="C320" s="34" t="n"/>
      <c r="D320" s="34" t="n"/>
      <c r="E320" s="34" t="n"/>
      <c r="F320" s="39" t="n"/>
      <c r="G320" s="38" t="n"/>
      <c r="H320" s="38" t="n"/>
      <c r="I320" s="51" t="n"/>
      <c r="J320" s="38" t="n"/>
      <c r="K320" s="34" t="n"/>
    </row>
    <row r="321">
      <c r="A321" s="33" t="n"/>
      <c r="B321" s="32" t="n"/>
      <c r="C321" s="32" t="n"/>
      <c r="D321" s="32" t="n"/>
      <c r="E321" s="32" t="n"/>
      <c r="F321" s="41" t="n"/>
      <c r="G321" s="40" t="n"/>
      <c r="H321" s="40" t="n"/>
      <c r="I321" s="52" t="n"/>
      <c r="J321" s="40" t="n"/>
      <c r="K321" s="32" t="n"/>
    </row>
    <row r="322">
      <c r="A322" s="35" t="n"/>
      <c r="B322" s="34" t="n"/>
      <c r="C322" s="34" t="n"/>
      <c r="D322" s="34" t="n"/>
      <c r="E322" s="34" t="n"/>
      <c r="F322" s="39" t="n"/>
      <c r="G322" s="38" t="n"/>
      <c r="H322" s="38" t="n"/>
      <c r="I322" s="51" t="n"/>
      <c r="J322" s="38" t="n"/>
      <c r="K322" s="34" t="n"/>
    </row>
    <row r="323">
      <c r="A323" s="33" t="n"/>
      <c r="B323" s="32" t="n"/>
      <c r="C323" s="32" t="n"/>
      <c r="D323" s="32" t="n"/>
      <c r="E323" s="32" t="n"/>
      <c r="F323" s="41" t="n"/>
      <c r="G323" s="40" t="n"/>
      <c r="H323" s="40" t="n"/>
      <c r="I323" s="52" t="n"/>
      <c r="J323" s="40" t="n"/>
      <c r="K323" s="32" t="n"/>
    </row>
    <row r="324">
      <c r="A324" s="35" t="n"/>
      <c r="B324" s="34" t="n"/>
      <c r="C324" s="34" t="n"/>
      <c r="D324" s="34" t="n"/>
      <c r="E324" s="34" t="n"/>
      <c r="F324" s="39" t="n"/>
      <c r="G324" s="38" t="n"/>
      <c r="H324" s="38" t="n"/>
      <c r="I324" s="51" t="n"/>
      <c r="J324" s="38" t="n"/>
      <c r="K324" s="34" t="n"/>
    </row>
    <row r="325">
      <c r="A325" s="33" t="n"/>
      <c r="B325" s="32" t="n"/>
      <c r="C325" s="32" t="n"/>
      <c r="D325" s="32" t="n"/>
      <c r="E325" s="32" t="n"/>
      <c r="F325" s="41" t="n"/>
      <c r="G325" s="40" t="n"/>
      <c r="H325" s="40" t="n"/>
      <c r="I325" s="52" t="n"/>
      <c r="J325" s="40" t="n"/>
      <c r="K325" s="32" t="n"/>
    </row>
    <row r="326">
      <c r="A326" s="35" t="n"/>
      <c r="B326" s="34" t="n"/>
      <c r="C326" s="34" t="n"/>
      <c r="D326" s="34" t="n"/>
      <c r="E326" s="34" t="n"/>
      <c r="F326" s="39" t="n"/>
      <c r="G326" s="38" t="n"/>
      <c r="H326" s="38" t="n"/>
      <c r="I326" s="51" t="n"/>
      <c r="J326" s="38" t="n"/>
      <c r="K326" s="34" t="n"/>
    </row>
    <row r="327">
      <c r="A327" s="33" t="n"/>
      <c r="B327" s="32" t="n"/>
      <c r="C327" s="32" t="n"/>
      <c r="D327" s="32" t="n"/>
      <c r="E327" s="32" t="n"/>
      <c r="F327" s="41" t="n"/>
      <c r="G327" s="40" t="n"/>
      <c r="H327" s="40" t="n"/>
      <c r="I327" s="52" t="n"/>
      <c r="J327" s="40" t="n"/>
      <c r="K327" s="32" t="n"/>
    </row>
    <row r="328">
      <c r="A328" s="35" t="n"/>
      <c r="B328" s="34" t="n"/>
      <c r="C328" s="34" t="n"/>
      <c r="D328" s="34" t="n"/>
      <c r="E328" s="34" t="n"/>
      <c r="F328" s="39" t="n"/>
      <c r="G328" s="38" t="n"/>
      <c r="H328" s="38" t="n"/>
      <c r="I328" s="51" t="n"/>
      <c r="J328" s="38" t="n"/>
      <c r="K328" s="34" t="n"/>
    </row>
    <row r="329">
      <c r="A329" s="33" t="n"/>
      <c r="B329" s="32" t="n"/>
      <c r="C329" s="32" t="n"/>
      <c r="D329" s="32" t="n"/>
      <c r="E329" s="32" t="n"/>
      <c r="F329" s="41" t="n"/>
      <c r="G329" s="40" t="n"/>
      <c r="H329" s="40" t="n"/>
      <c r="I329" s="52" t="n"/>
      <c r="J329" s="40" t="n"/>
      <c r="K329" s="32" t="n"/>
    </row>
    <row r="330">
      <c r="A330" s="35" t="n"/>
      <c r="B330" s="34" t="n"/>
      <c r="C330" s="34" t="n"/>
      <c r="D330" s="34" t="n"/>
      <c r="E330" s="34" t="n"/>
      <c r="F330" s="39" t="n"/>
      <c r="G330" s="38" t="n"/>
      <c r="H330" s="38" t="n"/>
      <c r="I330" s="51" t="n"/>
      <c r="J330" s="38" t="n"/>
      <c r="K330" s="34" t="n"/>
    </row>
    <row r="331">
      <c r="A331" s="33" t="n"/>
      <c r="B331" s="32" t="n"/>
      <c r="C331" s="32" t="n"/>
      <c r="D331" s="32" t="n"/>
      <c r="E331" s="32" t="n"/>
      <c r="F331" s="41" t="n"/>
      <c r="G331" s="40" t="n"/>
      <c r="H331" s="40" t="n"/>
      <c r="I331" s="52" t="n"/>
      <c r="J331" s="40" t="n"/>
      <c r="K331" s="32" t="n"/>
    </row>
    <row r="332">
      <c r="A332" s="35" t="n"/>
      <c r="B332" s="34" t="n"/>
      <c r="C332" s="34" t="n"/>
      <c r="D332" s="34" t="n"/>
      <c r="E332" s="34" t="n"/>
      <c r="F332" s="39" t="n"/>
      <c r="G332" s="38" t="n"/>
      <c r="H332" s="38" t="n"/>
      <c r="I332" s="51" t="n"/>
      <c r="J332" s="38" t="n"/>
      <c r="K332" s="34" t="n"/>
    </row>
    <row r="333">
      <c r="A333" s="33" t="n"/>
      <c r="B333" s="32" t="n"/>
      <c r="C333" s="32" t="n"/>
      <c r="D333" s="32" t="n"/>
      <c r="E333" s="32" t="n"/>
      <c r="F333" s="41" t="n"/>
      <c r="G333" s="40" t="n"/>
      <c r="H333" s="40" t="n"/>
      <c r="I333" s="52" t="n"/>
      <c r="J333" s="40" t="n"/>
      <c r="K333" s="32" t="n"/>
    </row>
    <row r="334">
      <c r="A334" s="35" t="n"/>
      <c r="B334" s="34" t="n"/>
      <c r="C334" s="34" t="n"/>
      <c r="D334" s="34" t="n"/>
      <c r="E334" s="34" t="n"/>
      <c r="F334" s="39" t="n"/>
      <c r="G334" s="38" t="n"/>
      <c r="H334" s="38" t="n"/>
      <c r="I334" s="51" t="n"/>
      <c r="J334" s="38" t="n"/>
      <c r="K334" s="34" t="n"/>
    </row>
    <row r="335">
      <c r="A335" s="33" t="n"/>
      <c r="B335" s="32" t="n"/>
      <c r="C335" s="32" t="n"/>
      <c r="D335" s="32" t="n"/>
      <c r="E335" s="32" t="n"/>
      <c r="F335" s="41" t="n"/>
      <c r="G335" s="40" t="n"/>
      <c r="H335" s="40" t="n"/>
      <c r="I335" s="52" t="n"/>
      <c r="J335" s="40" t="n"/>
      <c r="K335" s="32" t="n"/>
    </row>
    <row r="336">
      <c r="A336" s="35" t="n"/>
      <c r="B336" s="34" t="n"/>
      <c r="C336" s="34" t="n"/>
      <c r="D336" s="34" t="n"/>
      <c r="E336" s="34" t="n"/>
      <c r="F336" s="39" t="n"/>
      <c r="G336" s="38" t="n"/>
      <c r="H336" s="38" t="n"/>
      <c r="I336" s="51" t="n"/>
      <c r="J336" s="38" t="n"/>
      <c r="K336" s="34" t="n"/>
    </row>
    <row r="337">
      <c r="A337" s="33" t="n"/>
      <c r="B337" s="32" t="n"/>
      <c r="C337" s="32" t="n"/>
      <c r="D337" s="32" t="n"/>
      <c r="E337" s="32" t="n"/>
      <c r="F337" s="41" t="n"/>
      <c r="G337" s="40" t="n"/>
      <c r="H337" s="40" t="n"/>
      <c r="I337" s="52" t="n"/>
      <c r="J337" s="40" t="n"/>
      <c r="K337" s="32" t="n"/>
    </row>
    <row r="338">
      <c r="A338" s="35" t="n"/>
      <c r="B338" s="34" t="n"/>
      <c r="C338" s="34" t="n"/>
      <c r="D338" s="34" t="n"/>
      <c r="E338" s="34" t="n"/>
      <c r="F338" s="39" t="n"/>
      <c r="G338" s="38" t="n"/>
      <c r="H338" s="38" t="n"/>
      <c r="I338" s="51" t="n"/>
      <c r="J338" s="38" t="n"/>
      <c r="K338" s="34" t="n"/>
    </row>
    <row r="339">
      <c r="A339" s="33" t="n"/>
      <c r="B339" s="32" t="n"/>
      <c r="C339" s="32" t="n"/>
      <c r="D339" s="32" t="n"/>
      <c r="E339" s="32" t="n"/>
      <c r="F339" s="41" t="n"/>
      <c r="G339" s="40" t="n"/>
      <c r="H339" s="40" t="n"/>
      <c r="I339" s="52" t="n"/>
      <c r="J339" s="40" t="n"/>
      <c r="K339" s="32" t="n"/>
    </row>
    <row r="340">
      <c r="A340" s="35" t="n"/>
      <c r="B340" s="34" t="n"/>
      <c r="C340" s="34" t="n"/>
      <c r="D340" s="34" t="n"/>
      <c r="E340" s="34" t="n"/>
      <c r="F340" s="39" t="n"/>
      <c r="G340" s="38" t="n"/>
      <c r="H340" s="38" t="n"/>
      <c r="I340" s="51" t="n"/>
      <c r="J340" s="38" t="n"/>
      <c r="K340" s="34" t="n"/>
    </row>
    <row r="341">
      <c r="A341" s="33" t="n"/>
      <c r="B341" s="32" t="n"/>
      <c r="C341" s="32" t="n"/>
      <c r="D341" s="32" t="n"/>
      <c r="E341" s="32" t="n"/>
      <c r="F341" s="41" t="n"/>
      <c r="G341" s="40" t="n"/>
      <c r="H341" s="40" t="n"/>
      <c r="I341" s="52" t="n"/>
      <c r="J341" s="40" t="n"/>
      <c r="K341" s="32" t="n"/>
    </row>
    <row r="342">
      <c r="A342" s="35" t="n"/>
      <c r="B342" s="34" t="n"/>
      <c r="C342" s="34" t="n"/>
      <c r="D342" s="34" t="n"/>
      <c r="E342" s="34" t="n"/>
      <c r="F342" s="39" t="n"/>
      <c r="G342" s="38" t="n"/>
      <c r="H342" s="38" t="n"/>
      <c r="I342" s="51" t="n"/>
      <c r="J342" s="38" t="n"/>
      <c r="K342" s="34" t="n"/>
    </row>
    <row r="343">
      <c r="A343" s="33" t="n"/>
      <c r="B343" s="32" t="n"/>
      <c r="C343" s="32" t="n"/>
      <c r="D343" s="32" t="n"/>
      <c r="E343" s="32" t="n"/>
      <c r="F343" s="41" t="n"/>
      <c r="G343" s="40" t="n"/>
      <c r="H343" s="40" t="n"/>
      <c r="I343" s="52" t="n"/>
      <c r="J343" s="40" t="n"/>
      <c r="K343" s="32" t="n"/>
    </row>
    <row r="344">
      <c r="A344" s="35" t="n"/>
      <c r="B344" s="34" t="n"/>
      <c r="C344" s="34" t="n"/>
      <c r="D344" s="34" t="n"/>
      <c r="E344" s="34" t="n"/>
      <c r="F344" s="39" t="n"/>
      <c r="G344" s="38" t="n"/>
      <c r="H344" s="38" t="n"/>
      <c r="I344" s="51" t="n"/>
      <c r="J344" s="38" t="n"/>
      <c r="K344" s="34" t="n"/>
    </row>
    <row r="345">
      <c r="A345" s="33" t="n"/>
      <c r="B345" s="32" t="n"/>
      <c r="C345" s="32" t="n"/>
      <c r="D345" s="32" t="n"/>
      <c r="E345" s="32" t="n"/>
      <c r="F345" s="41" t="n"/>
      <c r="G345" s="40" t="n"/>
      <c r="H345" s="40" t="n"/>
      <c r="I345" s="52" t="n"/>
      <c r="J345" s="40" t="n"/>
      <c r="K345" s="32" t="n"/>
    </row>
    <row r="346">
      <c r="A346" s="35" t="n"/>
      <c r="B346" s="34" t="n"/>
      <c r="C346" s="34" t="n"/>
      <c r="D346" s="34" t="n"/>
      <c r="E346" s="34" t="n"/>
      <c r="F346" s="39" t="n"/>
      <c r="G346" s="38" t="n"/>
      <c r="H346" s="38" t="n"/>
      <c r="I346" s="51" t="n"/>
      <c r="J346" s="38" t="n"/>
      <c r="K346" s="34" t="n"/>
    </row>
    <row r="347">
      <c r="A347" s="33" t="n"/>
      <c r="B347" s="32" t="n"/>
      <c r="C347" s="32" t="n"/>
      <c r="D347" s="32" t="n"/>
      <c r="E347" s="32" t="n"/>
      <c r="F347" s="41" t="n"/>
      <c r="G347" s="40" t="n"/>
      <c r="H347" s="40" t="n"/>
      <c r="I347" s="52" t="n"/>
      <c r="J347" s="40" t="n"/>
      <c r="K347" s="32" t="n"/>
    </row>
    <row r="348">
      <c r="A348" s="35" t="n"/>
      <c r="B348" s="34" t="n"/>
      <c r="C348" s="34" t="n"/>
      <c r="D348" s="34" t="n"/>
      <c r="E348" s="34" t="n"/>
      <c r="F348" s="39" t="n"/>
      <c r="G348" s="38" t="n"/>
      <c r="H348" s="38" t="n"/>
      <c r="I348" s="51" t="n"/>
      <c r="J348" s="38" t="n"/>
      <c r="K348" s="34" t="n"/>
    </row>
    <row r="349">
      <c r="A349" s="33" t="n"/>
      <c r="B349" s="32" t="n"/>
      <c r="C349" s="32" t="n"/>
      <c r="D349" s="32" t="n"/>
      <c r="E349" s="32" t="n"/>
      <c r="F349" s="41" t="n"/>
      <c r="G349" s="40" t="n"/>
      <c r="H349" s="40" t="n"/>
      <c r="I349" s="52" t="n"/>
      <c r="J349" s="40" t="n"/>
      <c r="K349" s="32" t="n"/>
    </row>
    <row r="350">
      <c r="A350" s="35" t="n"/>
      <c r="B350" s="34" t="n"/>
      <c r="C350" s="34" t="n"/>
      <c r="D350" s="34" t="n"/>
      <c r="E350" s="34" t="n"/>
      <c r="F350" s="39" t="n"/>
      <c r="G350" s="38" t="n"/>
      <c r="H350" s="38" t="n"/>
      <c r="I350" s="51" t="n"/>
      <c r="J350" s="38" t="n"/>
      <c r="K350" s="34" t="n"/>
    </row>
    <row r="351">
      <c r="A351" s="33" t="n"/>
      <c r="B351" s="32" t="n"/>
      <c r="C351" s="32" t="n"/>
      <c r="D351" s="32" t="n"/>
      <c r="E351" s="32" t="n"/>
      <c r="F351" s="41" t="n"/>
      <c r="G351" s="40" t="n"/>
      <c r="H351" s="40" t="n"/>
      <c r="I351" s="52" t="n"/>
      <c r="J351" s="40" t="n"/>
      <c r="K351" s="32" t="n"/>
    </row>
    <row r="352">
      <c r="A352" s="35" t="n"/>
      <c r="B352" s="34" t="n"/>
      <c r="C352" s="34" t="n"/>
      <c r="D352" s="34" t="n"/>
      <c r="E352" s="34" t="n"/>
      <c r="F352" s="39" t="n"/>
      <c r="G352" s="38" t="n"/>
      <c r="H352" s="38" t="n"/>
      <c r="I352" s="51" t="n"/>
      <c r="J352" s="38" t="n"/>
      <c r="K352" s="34" t="n"/>
    </row>
    <row r="353">
      <c r="A353" s="33" t="n"/>
      <c r="B353" s="32" t="n"/>
      <c r="C353" s="32" t="n"/>
      <c r="D353" s="32" t="n"/>
      <c r="E353" s="32" t="n"/>
      <c r="F353" s="41" t="n"/>
      <c r="G353" s="40" t="n"/>
      <c r="H353" s="40" t="n"/>
      <c r="I353" s="52" t="n"/>
      <c r="J353" s="40" t="n"/>
      <c r="K353" s="32" t="n"/>
    </row>
    <row r="354">
      <c r="A354" s="35" t="n"/>
      <c r="B354" s="34" t="n"/>
      <c r="C354" s="34" t="n"/>
      <c r="D354" s="34" t="n"/>
      <c r="E354" s="34" t="n"/>
      <c r="F354" s="39" t="n"/>
      <c r="G354" s="38" t="n"/>
      <c r="H354" s="38" t="n"/>
      <c r="I354" s="51" t="n"/>
      <c r="J354" s="38" t="n"/>
      <c r="K354" s="34" t="n"/>
    </row>
    <row r="355">
      <c r="A355" s="33" t="n"/>
      <c r="B355" s="32" t="n"/>
      <c r="C355" s="32" t="n"/>
      <c r="D355" s="32" t="n"/>
      <c r="E355" s="32" t="n"/>
      <c r="F355" s="41" t="n"/>
      <c r="G355" s="40" t="n"/>
      <c r="H355" s="40" t="n"/>
      <c r="I355" s="52" t="n"/>
      <c r="J355" s="40" t="n"/>
      <c r="K355" s="32" t="n"/>
    </row>
    <row r="356">
      <c r="A356" s="35" t="n"/>
      <c r="B356" s="34" t="n"/>
      <c r="C356" s="34" t="n"/>
      <c r="D356" s="34" t="n"/>
      <c r="E356" s="34" t="n"/>
      <c r="F356" s="39" t="n"/>
      <c r="G356" s="38" t="n"/>
      <c r="H356" s="38" t="n"/>
      <c r="I356" s="51" t="n"/>
      <c r="J356" s="38" t="n"/>
      <c r="K356" s="34" t="n"/>
    </row>
    <row r="357">
      <c r="A357" s="33" t="n"/>
      <c r="B357" s="32" t="n"/>
      <c r="C357" s="32" t="n"/>
      <c r="D357" s="32" t="n"/>
      <c r="E357" s="32" t="n"/>
      <c r="F357" s="41" t="n"/>
      <c r="G357" s="40" t="n"/>
      <c r="H357" s="40" t="n"/>
      <c r="I357" s="52" t="n"/>
      <c r="J357" s="40" t="n"/>
      <c r="K357" s="32" t="n"/>
    </row>
    <row r="358">
      <c r="A358" s="35" t="n"/>
      <c r="B358" s="34" t="n"/>
      <c r="C358" s="34" t="n"/>
      <c r="D358" s="34" t="n"/>
      <c r="E358" s="34" t="n"/>
      <c r="F358" s="39" t="n"/>
      <c r="G358" s="38" t="n"/>
      <c r="H358" s="38" t="n"/>
      <c r="I358" s="51" t="n"/>
      <c r="J358" s="38" t="n"/>
      <c r="K358" s="34" t="n"/>
    </row>
    <row r="359">
      <c r="A359" s="33" t="n"/>
      <c r="B359" s="32" t="n"/>
      <c r="C359" s="32" t="n"/>
      <c r="D359" s="32" t="n"/>
      <c r="E359" s="32" t="n"/>
      <c r="F359" s="41" t="n"/>
      <c r="G359" s="40" t="n"/>
      <c r="H359" s="40" t="n"/>
      <c r="I359" s="52" t="n"/>
      <c r="J359" s="40" t="n"/>
      <c r="K359" s="32" t="n"/>
    </row>
    <row r="360">
      <c r="A360" s="35" t="n"/>
      <c r="B360" s="34" t="n"/>
      <c r="C360" s="34" t="n"/>
      <c r="D360" s="34" t="n"/>
      <c r="E360" s="34" t="n"/>
      <c r="F360" s="39" t="n"/>
      <c r="G360" s="38" t="n"/>
      <c r="H360" s="38" t="n"/>
      <c r="I360" s="51" t="n"/>
      <c r="J360" s="38" t="n"/>
      <c r="K360" s="34" t="n"/>
    </row>
    <row r="361">
      <c r="A361" s="33" t="n"/>
      <c r="B361" s="32" t="n"/>
      <c r="C361" s="32" t="n"/>
      <c r="D361" s="32" t="n"/>
      <c r="E361" s="32" t="n"/>
      <c r="F361" s="41" t="n"/>
      <c r="G361" s="40" t="n"/>
      <c r="H361" s="40" t="n"/>
      <c r="I361" s="52" t="n"/>
      <c r="J361" s="40" t="n"/>
      <c r="K361" s="32" t="n"/>
    </row>
    <row r="362">
      <c r="A362" s="35" t="n"/>
      <c r="B362" s="34" t="n"/>
      <c r="C362" s="34" t="n"/>
      <c r="D362" s="34" t="n"/>
      <c r="E362" s="34" t="n"/>
      <c r="F362" s="39" t="n"/>
      <c r="G362" s="38" t="n"/>
      <c r="H362" s="38" t="n"/>
      <c r="I362" s="51" t="n"/>
      <c r="J362" s="38" t="n"/>
      <c r="K362" s="34" t="n"/>
    </row>
    <row r="363">
      <c r="A363" s="33" t="n"/>
      <c r="B363" s="32" t="n"/>
      <c r="C363" s="32" t="n"/>
      <c r="D363" s="32" t="n"/>
      <c r="E363" s="32" t="n"/>
      <c r="F363" s="41" t="n"/>
      <c r="G363" s="40" t="n"/>
      <c r="H363" s="40" t="n"/>
      <c r="I363" s="52" t="n"/>
      <c r="J363" s="40" t="n"/>
      <c r="K363" s="32" t="n"/>
    </row>
    <row r="364">
      <c r="A364" s="35" t="n"/>
      <c r="B364" s="34" t="n"/>
      <c r="C364" s="34" t="n"/>
      <c r="D364" s="34" t="n"/>
      <c r="E364" s="34" t="n"/>
      <c r="F364" s="39" t="n"/>
      <c r="G364" s="38" t="n"/>
      <c r="H364" s="38" t="n"/>
      <c r="I364" s="51" t="n"/>
      <c r="J364" s="38" t="n"/>
      <c r="K364" s="34" t="n"/>
    </row>
    <row r="365">
      <c r="A365" s="33" t="n"/>
      <c r="B365" s="32" t="n"/>
      <c r="C365" s="32" t="n"/>
      <c r="D365" s="32" t="n"/>
      <c r="E365" s="32" t="n"/>
      <c r="F365" s="41" t="n"/>
      <c r="G365" s="40" t="n"/>
      <c r="H365" s="40" t="n"/>
      <c r="I365" s="52" t="n"/>
      <c r="J365" s="40" t="n"/>
      <c r="K365" s="32" t="n"/>
    </row>
    <row r="366">
      <c r="A366" s="35" t="n"/>
      <c r="B366" s="34" t="n"/>
      <c r="C366" s="34" t="n"/>
      <c r="D366" s="34" t="n"/>
      <c r="E366" s="34" t="n"/>
      <c r="F366" s="39" t="n"/>
      <c r="G366" s="38" t="n"/>
      <c r="H366" s="38" t="n"/>
      <c r="I366" s="51" t="n"/>
      <c r="J366" s="38" t="n"/>
      <c r="K366" s="34" t="n"/>
    </row>
    <row r="367">
      <c r="A367" s="33" t="n"/>
      <c r="B367" s="32" t="n"/>
      <c r="C367" s="32" t="n"/>
      <c r="D367" s="32" t="n"/>
      <c r="E367" s="32" t="n"/>
      <c r="F367" s="41" t="n"/>
      <c r="G367" s="40" t="n"/>
      <c r="H367" s="40" t="n"/>
      <c r="I367" s="52" t="n"/>
      <c r="J367" s="40" t="n"/>
      <c r="K367" s="32" t="n"/>
    </row>
    <row r="368">
      <c r="A368" s="35" t="n"/>
      <c r="B368" s="34" t="n"/>
      <c r="C368" s="34" t="n"/>
      <c r="D368" s="34" t="n"/>
      <c r="E368" s="34" t="n"/>
      <c r="F368" s="39" t="n"/>
      <c r="G368" s="38" t="n"/>
      <c r="H368" s="38" t="n"/>
      <c r="I368" s="51" t="n"/>
      <c r="J368" s="38" t="n"/>
      <c r="K368" s="34" t="n"/>
    </row>
    <row r="369">
      <c r="A369" s="33" t="n"/>
      <c r="B369" s="32" t="n"/>
      <c r="C369" s="32" t="n"/>
      <c r="D369" s="32" t="n"/>
      <c r="E369" s="32" t="n"/>
      <c r="F369" s="41" t="n"/>
      <c r="G369" s="40" t="n"/>
      <c r="H369" s="40" t="n"/>
      <c r="I369" s="52" t="n"/>
      <c r="J369" s="40" t="n"/>
      <c r="K369" s="32" t="n"/>
    </row>
    <row r="370">
      <c r="A370" s="35" t="n"/>
      <c r="B370" s="34" t="n"/>
      <c r="C370" s="34" t="n"/>
      <c r="D370" s="34" t="n"/>
      <c r="E370" s="34" t="n"/>
      <c r="F370" s="39" t="n"/>
      <c r="G370" s="38" t="n"/>
      <c r="H370" s="38" t="n"/>
      <c r="I370" s="51" t="n"/>
      <c r="J370" s="38" t="n"/>
      <c r="K370" s="34" t="n"/>
    </row>
    <row r="371">
      <c r="A371" s="33" t="n"/>
      <c r="B371" s="32" t="n"/>
      <c r="C371" s="32" t="n"/>
      <c r="D371" s="32" t="n"/>
      <c r="E371" s="32" t="n"/>
      <c r="F371" s="41" t="n"/>
      <c r="G371" s="40" t="n"/>
      <c r="H371" s="40" t="n"/>
      <c r="I371" s="52" t="n"/>
      <c r="J371" s="40" t="n"/>
      <c r="K371" s="32" t="n"/>
    </row>
    <row r="372">
      <c r="A372" s="35" t="n"/>
      <c r="B372" s="34" t="n"/>
      <c r="C372" s="34" t="n"/>
      <c r="D372" s="34" t="n"/>
      <c r="E372" s="34" t="n"/>
      <c r="F372" s="39" t="n"/>
      <c r="G372" s="38" t="n"/>
      <c r="H372" s="38" t="n"/>
      <c r="I372" s="51" t="n"/>
      <c r="J372" s="38" t="n"/>
      <c r="K372" s="34" t="n"/>
    </row>
    <row r="373">
      <c r="A373" s="33" t="n"/>
      <c r="B373" s="32" t="n"/>
      <c r="C373" s="32" t="n"/>
      <c r="D373" s="32" t="n"/>
      <c r="E373" s="32" t="n"/>
      <c r="F373" s="41" t="n"/>
      <c r="G373" s="40" t="n"/>
      <c r="H373" s="40" t="n"/>
      <c r="I373" s="52" t="n"/>
      <c r="J373" s="40" t="n"/>
      <c r="K373" s="32" t="n"/>
    </row>
    <row r="374">
      <c r="A374" s="35" t="n"/>
      <c r="B374" s="34" t="n"/>
      <c r="C374" s="34" t="n"/>
      <c r="D374" s="34" t="n"/>
      <c r="E374" s="34" t="n"/>
      <c r="F374" s="39" t="n"/>
      <c r="G374" s="38" t="n"/>
      <c r="H374" s="38" t="n"/>
      <c r="I374" s="51" t="n"/>
      <c r="J374" s="38" t="n"/>
      <c r="K374" s="34" t="n"/>
    </row>
    <row r="375">
      <c r="A375" s="33" t="n"/>
      <c r="B375" s="32" t="n"/>
      <c r="C375" s="32" t="n"/>
      <c r="D375" s="32" t="n"/>
      <c r="E375" s="32" t="n"/>
      <c r="F375" s="41" t="n"/>
      <c r="G375" s="40" t="n"/>
      <c r="H375" s="40" t="n"/>
      <c r="I375" s="52" t="n"/>
      <c r="J375" s="40" t="n"/>
      <c r="K375" s="32" t="n"/>
    </row>
    <row r="376">
      <c r="A376" s="35" t="n"/>
      <c r="B376" s="34" t="n"/>
      <c r="C376" s="34" t="n"/>
      <c r="D376" s="34" t="n"/>
      <c r="E376" s="34" t="n"/>
      <c r="F376" s="39" t="n"/>
      <c r="G376" s="38" t="n"/>
      <c r="H376" s="38" t="n"/>
      <c r="I376" s="51" t="n"/>
      <c r="J376" s="38" t="n"/>
      <c r="K376" s="34" t="n"/>
    </row>
    <row r="377">
      <c r="A377" s="33" t="n"/>
      <c r="B377" s="32" t="n"/>
      <c r="C377" s="32" t="n"/>
      <c r="D377" s="32" t="n"/>
      <c r="E377" s="32" t="n"/>
      <c r="F377" s="41" t="n"/>
      <c r="G377" s="40" t="n"/>
      <c r="H377" s="40" t="n"/>
      <c r="I377" s="52" t="n"/>
      <c r="J377" s="40" t="n"/>
      <c r="K377" s="32" t="n"/>
    </row>
    <row r="378">
      <c r="A378" s="35" t="n"/>
      <c r="B378" s="34" t="n"/>
      <c r="C378" s="34" t="n"/>
      <c r="D378" s="34" t="n"/>
      <c r="E378" s="34" t="n"/>
      <c r="F378" s="39" t="n"/>
      <c r="G378" s="38" t="n"/>
      <c r="H378" s="38" t="n"/>
      <c r="I378" s="51" t="n"/>
      <c r="J378" s="38" t="n"/>
      <c r="K378" s="34" t="n"/>
    </row>
    <row r="379">
      <c r="A379" s="33" t="n"/>
      <c r="B379" s="32" t="n"/>
      <c r="C379" s="32" t="n"/>
      <c r="D379" s="32" t="n"/>
      <c r="E379" s="32" t="n"/>
      <c r="F379" s="41" t="n"/>
      <c r="G379" s="40" t="n"/>
      <c r="H379" s="40" t="n"/>
      <c r="I379" s="52" t="n"/>
      <c r="J379" s="40" t="n"/>
      <c r="K379" s="32" t="n"/>
    </row>
    <row r="380">
      <c r="A380" s="35" t="n"/>
      <c r="B380" s="34" t="n"/>
      <c r="C380" s="34" t="n"/>
      <c r="D380" s="34" t="n"/>
      <c r="E380" s="34" t="n"/>
      <c r="F380" s="39" t="n"/>
      <c r="G380" s="38" t="n"/>
      <c r="H380" s="38" t="n"/>
      <c r="I380" s="51" t="n"/>
      <c r="J380" s="38" t="n"/>
      <c r="K380" s="34" t="n"/>
    </row>
    <row r="381">
      <c r="A381" s="33" t="n"/>
      <c r="B381" s="32" t="n"/>
      <c r="C381" s="32" t="n"/>
      <c r="D381" s="32" t="n"/>
      <c r="E381" s="32" t="n"/>
      <c r="F381" s="41" t="n"/>
      <c r="G381" s="40" t="n"/>
      <c r="H381" s="40" t="n"/>
      <c r="I381" s="52" t="n"/>
      <c r="J381" s="40" t="n"/>
      <c r="K381" s="32" t="n"/>
    </row>
    <row r="382">
      <c r="A382" s="35" t="n"/>
      <c r="B382" s="34" t="n"/>
      <c r="C382" s="34" t="n"/>
      <c r="D382" s="34" t="n"/>
      <c r="E382" s="34" t="n"/>
      <c r="F382" s="39" t="n"/>
      <c r="G382" s="38" t="n"/>
      <c r="H382" s="38" t="n"/>
      <c r="I382" s="51" t="n"/>
      <c r="J382" s="38" t="n"/>
      <c r="K382" s="34" t="n"/>
    </row>
    <row r="383">
      <c r="A383" s="33" t="n"/>
      <c r="B383" s="32" t="n"/>
      <c r="C383" s="32" t="n"/>
      <c r="D383" s="32" t="n"/>
      <c r="E383" s="32" t="n"/>
      <c r="F383" s="41" t="n"/>
      <c r="G383" s="40" t="n"/>
      <c r="H383" s="40" t="n"/>
      <c r="I383" s="52" t="n"/>
      <c r="J383" s="40" t="n"/>
      <c r="K383" s="32" t="n"/>
    </row>
    <row r="384">
      <c r="A384" s="35" t="n"/>
      <c r="B384" s="34" t="n"/>
      <c r="C384" s="34" t="n"/>
      <c r="D384" s="34" t="n"/>
      <c r="E384" s="34" t="n"/>
      <c r="F384" s="39" t="n"/>
      <c r="G384" s="38" t="n"/>
      <c r="H384" s="38" t="n"/>
      <c r="I384" s="51" t="n"/>
      <c r="J384" s="38" t="n"/>
      <c r="K384" s="34" t="n"/>
    </row>
    <row r="385">
      <c r="A385" s="33" t="n"/>
      <c r="B385" s="32" t="n"/>
      <c r="C385" s="32" t="n"/>
      <c r="D385" s="32" t="n"/>
      <c r="E385" s="32" t="n"/>
      <c r="F385" s="41" t="n"/>
      <c r="G385" s="40" t="n"/>
      <c r="H385" s="40" t="n"/>
      <c r="I385" s="52" t="n"/>
      <c r="J385" s="40" t="n"/>
      <c r="K385" s="32" t="n"/>
    </row>
    <row r="386">
      <c r="A386" s="35" t="n"/>
      <c r="B386" s="34" t="n"/>
      <c r="C386" s="34" t="n"/>
      <c r="D386" s="34" t="n"/>
      <c r="E386" s="34" t="n"/>
      <c r="F386" s="39" t="n"/>
      <c r="G386" s="38" t="n"/>
      <c r="H386" s="38" t="n"/>
      <c r="I386" s="51" t="n"/>
      <c r="J386" s="38" t="n"/>
      <c r="K386" s="34" t="n"/>
    </row>
    <row r="387">
      <c r="A387" s="33" t="n"/>
      <c r="B387" s="32" t="n"/>
      <c r="C387" s="32" t="n"/>
      <c r="D387" s="32" t="n"/>
      <c r="E387" s="32" t="n"/>
      <c r="F387" s="41" t="n"/>
      <c r="G387" s="40" t="n"/>
      <c r="H387" s="40" t="n"/>
      <c r="I387" s="52" t="n"/>
      <c r="J387" s="40" t="n"/>
      <c r="K387" s="32" t="n"/>
    </row>
    <row r="388">
      <c r="A388" s="35" t="n"/>
      <c r="B388" s="34" t="n"/>
      <c r="C388" s="34" t="n"/>
      <c r="D388" s="34" t="n"/>
      <c r="E388" s="34" t="n"/>
      <c r="F388" s="39" t="n"/>
      <c r="G388" s="38" t="n"/>
      <c r="H388" s="38" t="n"/>
      <c r="I388" s="51" t="n"/>
      <c r="J388" s="38" t="n"/>
      <c r="K388" s="34" t="n"/>
    </row>
    <row r="389">
      <c r="A389" s="33" t="n"/>
      <c r="B389" s="32" t="n"/>
      <c r="C389" s="32" t="n"/>
      <c r="D389" s="32" t="n"/>
      <c r="E389" s="32" t="n"/>
      <c r="F389" s="41" t="n"/>
      <c r="G389" s="40" t="n"/>
      <c r="H389" s="40" t="n"/>
      <c r="I389" s="52" t="n"/>
      <c r="J389" s="40" t="n"/>
      <c r="K389" s="32" t="n"/>
    </row>
    <row r="390">
      <c r="A390" s="35" t="n"/>
      <c r="B390" s="34" t="n"/>
      <c r="C390" s="34" t="n"/>
      <c r="D390" s="34" t="n"/>
      <c r="E390" s="34" t="n"/>
      <c r="F390" s="39" t="n"/>
      <c r="G390" s="38" t="n"/>
      <c r="H390" s="38" t="n"/>
      <c r="I390" s="51" t="n"/>
      <c r="J390" s="38" t="n"/>
      <c r="K390" s="34" t="n"/>
    </row>
    <row r="391">
      <c r="A391" s="33" t="n"/>
      <c r="B391" s="32" t="n"/>
      <c r="C391" s="32" t="n"/>
      <c r="D391" s="32" t="n"/>
      <c r="E391" s="32" t="n"/>
      <c r="F391" s="41" t="n"/>
      <c r="G391" s="40" t="n"/>
      <c r="H391" s="40" t="n"/>
      <c r="I391" s="52" t="n"/>
      <c r="J391" s="40" t="n"/>
      <c r="K391" s="32" t="n"/>
    </row>
    <row r="392">
      <c r="A392" s="35" t="n"/>
      <c r="B392" s="34" t="n"/>
      <c r="C392" s="34" t="n"/>
      <c r="D392" s="34" t="n"/>
      <c r="E392" s="34" t="n"/>
      <c r="F392" s="39" t="n"/>
      <c r="G392" s="38" t="n"/>
      <c r="H392" s="38" t="n"/>
      <c r="I392" s="51" t="n"/>
      <c r="J392" s="38" t="n"/>
      <c r="K392" s="34" t="n"/>
    </row>
    <row r="393">
      <c r="A393" s="33" t="n"/>
      <c r="B393" s="32" t="n"/>
      <c r="C393" s="32" t="n"/>
      <c r="D393" s="32" t="n"/>
      <c r="E393" s="32" t="n"/>
      <c r="F393" s="41" t="n"/>
      <c r="G393" s="40" t="n"/>
      <c r="H393" s="40" t="n"/>
      <c r="I393" s="52" t="n"/>
      <c r="J393" s="40" t="n"/>
      <c r="K393" s="32" t="n"/>
    </row>
    <row r="394">
      <c r="A394" s="35" t="n"/>
      <c r="B394" s="34" t="n"/>
      <c r="C394" s="34" t="n"/>
      <c r="D394" s="34" t="n"/>
      <c r="E394" s="34" t="n"/>
      <c r="F394" s="39" t="n"/>
      <c r="G394" s="38" t="n"/>
      <c r="H394" s="38" t="n"/>
      <c r="I394" s="51" t="n"/>
      <c r="J394" s="38" t="n"/>
      <c r="K394" s="34" t="n"/>
    </row>
    <row r="395">
      <c r="A395" s="33" t="n"/>
      <c r="B395" s="32" t="n"/>
      <c r="C395" s="32" t="n"/>
      <c r="D395" s="32" t="n"/>
      <c r="E395" s="32" t="n"/>
      <c r="F395" s="41" t="n"/>
      <c r="G395" s="40" t="n"/>
      <c r="H395" s="40" t="n"/>
      <c r="I395" s="52" t="n"/>
      <c r="J395" s="40" t="n"/>
      <c r="K395" s="32" t="n"/>
    </row>
    <row r="396">
      <c r="A396" s="35" t="n"/>
      <c r="B396" s="34" t="n"/>
      <c r="C396" s="34" t="n"/>
      <c r="D396" s="34" t="n"/>
      <c r="E396" s="34" t="n"/>
      <c r="F396" s="39" t="n"/>
      <c r="G396" s="38" t="n"/>
      <c r="H396" s="38" t="n"/>
      <c r="I396" s="51" t="n"/>
      <c r="J396" s="38" t="n"/>
      <c r="K396" s="34" t="n"/>
    </row>
    <row r="397">
      <c r="A397" s="33" t="n"/>
      <c r="B397" s="32" t="n"/>
      <c r="C397" s="32" t="n"/>
      <c r="D397" s="32" t="n"/>
      <c r="E397" s="32" t="n"/>
      <c r="F397" s="41" t="n"/>
      <c r="G397" s="40" t="n"/>
      <c r="H397" s="40" t="n"/>
      <c r="I397" s="52" t="n"/>
      <c r="J397" s="40" t="n"/>
      <c r="K397" s="32" t="n"/>
    </row>
    <row r="398">
      <c r="A398" s="35" t="n"/>
      <c r="B398" s="34" t="n"/>
      <c r="C398" s="34" t="n"/>
      <c r="D398" s="34" t="n"/>
      <c r="E398" s="34" t="n"/>
      <c r="F398" s="39" t="n"/>
      <c r="G398" s="38" t="n"/>
      <c r="H398" s="38" t="n"/>
      <c r="I398" s="51" t="n"/>
      <c r="J398" s="38" t="n"/>
      <c r="K398" s="34" t="n"/>
    </row>
    <row r="399">
      <c r="A399" s="33" t="n"/>
      <c r="B399" s="32" t="n"/>
      <c r="C399" s="32" t="n"/>
      <c r="D399" s="32" t="n"/>
      <c r="E399" s="32" t="n"/>
      <c r="F399" s="41" t="n"/>
      <c r="G399" s="40" t="n"/>
      <c r="H399" s="40" t="n"/>
      <c r="I399" s="52" t="n"/>
      <c r="J399" s="40" t="n"/>
      <c r="K399" s="32" t="n"/>
    </row>
    <row r="400">
      <c r="A400" s="35" t="n"/>
      <c r="B400" s="34" t="n"/>
      <c r="C400" s="34" t="n"/>
      <c r="D400" s="34" t="n"/>
      <c r="E400" s="34" t="n"/>
      <c r="F400" s="39" t="n"/>
      <c r="G400" s="38" t="n"/>
      <c r="H400" s="38" t="n"/>
      <c r="I400" s="51" t="n"/>
      <c r="J400" s="38" t="n"/>
      <c r="K400" s="34" t="n"/>
    </row>
    <row r="401">
      <c r="A401" s="33" t="n"/>
      <c r="B401" s="32" t="n"/>
      <c r="C401" s="32" t="n"/>
      <c r="D401" s="32" t="n"/>
      <c r="E401" s="32" t="n"/>
      <c r="F401" s="41" t="n"/>
      <c r="G401" s="40" t="n"/>
      <c r="H401" s="40" t="n"/>
      <c r="I401" s="52" t="n"/>
      <c r="J401" s="40" t="n"/>
      <c r="K401" s="32" t="n"/>
    </row>
    <row r="402">
      <c r="A402" s="35" t="n"/>
      <c r="B402" s="34" t="n"/>
      <c r="C402" s="34" t="n"/>
      <c r="D402" s="34" t="n"/>
      <c r="E402" s="34" t="n"/>
      <c r="F402" s="39" t="n"/>
      <c r="G402" s="38" t="n"/>
      <c r="H402" s="38" t="n"/>
      <c r="I402" s="51" t="n"/>
      <c r="J402" s="38" t="n"/>
      <c r="K402" s="34" t="n"/>
    </row>
    <row r="403">
      <c r="A403" s="33" t="n"/>
      <c r="B403" s="32" t="n"/>
      <c r="C403" s="32" t="n"/>
      <c r="D403" s="32" t="n"/>
      <c r="E403" s="32" t="n"/>
      <c r="F403" s="41" t="n"/>
      <c r="G403" s="40" t="n"/>
      <c r="H403" s="40" t="n"/>
      <c r="I403" s="52" t="n"/>
      <c r="J403" s="40" t="n"/>
      <c r="K403" s="32" t="n"/>
    </row>
    <row r="404">
      <c r="A404" s="35" t="n"/>
      <c r="B404" s="34" t="n"/>
      <c r="C404" s="34" t="n"/>
      <c r="D404" s="34" t="n"/>
      <c r="E404" s="34" t="n"/>
      <c r="F404" s="39" t="n"/>
      <c r="G404" s="38" t="n"/>
      <c r="H404" s="38" t="n"/>
      <c r="I404" s="51" t="n"/>
      <c r="J404" s="38" t="n"/>
      <c r="K404" s="34" t="n"/>
    </row>
    <row r="405">
      <c r="A405" s="33" t="n"/>
      <c r="B405" s="32" t="n"/>
      <c r="C405" s="32" t="n"/>
      <c r="D405" s="32" t="n"/>
      <c r="E405" s="32" t="n"/>
      <c r="F405" s="41" t="n"/>
      <c r="G405" s="40" t="n"/>
      <c r="H405" s="40" t="n"/>
      <c r="I405" s="52" t="n"/>
      <c r="J405" s="40" t="n"/>
      <c r="K405" s="32" t="n"/>
    </row>
    <row r="406">
      <c r="A406" s="35" t="n"/>
      <c r="B406" s="34" t="n"/>
      <c r="C406" s="34" t="n"/>
      <c r="D406" s="34" t="n"/>
      <c r="E406" s="34" t="n"/>
      <c r="F406" s="39" t="n"/>
      <c r="G406" s="38" t="n"/>
      <c r="H406" s="38" t="n"/>
      <c r="I406" s="51" t="n"/>
      <c r="J406" s="38" t="n"/>
      <c r="K406" s="34" t="n"/>
    </row>
    <row r="407">
      <c r="A407" s="33" t="n"/>
      <c r="B407" s="32" t="n"/>
      <c r="C407" s="32" t="n"/>
      <c r="D407" s="32" t="n"/>
      <c r="E407" s="32" t="n"/>
      <c r="F407" s="41" t="n"/>
      <c r="G407" s="40" t="n"/>
      <c r="H407" s="40" t="n"/>
      <c r="I407" s="52" t="n"/>
      <c r="J407" s="40" t="n"/>
      <c r="K407" s="32" t="n"/>
    </row>
    <row r="408">
      <c r="A408" s="35" t="n"/>
      <c r="B408" s="34" t="n"/>
      <c r="C408" s="34" t="n"/>
      <c r="D408" s="34" t="n"/>
      <c r="E408" s="34" t="n"/>
      <c r="F408" s="39" t="n"/>
      <c r="G408" s="38" t="n"/>
      <c r="H408" s="38" t="n"/>
      <c r="I408" s="51" t="n"/>
      <c r="J408" s="38" t="n"/>
      <c r="K408" s="34" t="n"/>
    </row>
    <row r="409">
      <c r="A409" s="33" t="n"/>
      <c r="B409" s="32" t="n"/>
      <c r="C409" s="32" t="n"/>
      <c r="D409" s="32" t="n"/>
      <c r="E409" s="32" t="n"/>
      <c r="F409" s="41" t="n"/>
      <c r="G409" s="40" t="n"/>
      <c r="H409" s="40" t="n"/>
      <c r="I409" s="52" t="n"/>
      <c r="J409" s="40" t="n"/>
      <c r="K409" s="32" t="n"/>
    </row>
    <row r="410">
      <c r="A410" s="35" t="n"/>
      <c r="B410" s="34" t="n"/>
      <c r="C410" s="34" t="n"/>
      <c r="D410" s="34" t="n"/>
      <c r="E410" s="34" t="n"/>
      <c r="F410" s="39" t="n"/>
      <c r="G410" s="38" t="n"/>
      <c r="H410" s="38" t="n"/>
      <c r="I410" s="51" t="n"/>
      <c r="J410" s="38" t="n"/>
      <c r="K410" s="34" t="n"/>
    </row>
    <row r="411">
      <c r="A411" s="33" t="n"/>
      <c r="B411" s="32" t="n"/>
      <c r="C411" s="32" t="n"/>
      <c r="D411" s="32" t="n"/>
      <c r="E411" s="32" t="n"/>
      <c r="F411" s="41" t="n"/>
      <c r="G411" s="40" t="n"/>
      <c r="H411" s="40" t="n"/>
      <c r="I411" s="52" t="n"/>
      <c r="J411" s="40" t="n"/>
      <c r="K411" s="32" t="n"/>
    </row>
    <row r="412">
      <c r="A412" s="35" t="n"/>
      <c r="B412" s="34" t="n"/>
      <c r="C412" s="34" t="n"/>
      <c r="D412" s="34" t="n"/>
      <c r="E412" s="34" t="n"/>
      <c r="F412" s="39" t="n"/>
      <c r="G412" s="38" t="n"/>
      <c r="H412" s="38" t="n"/>
      <c r="I412" s="51" t="n"/>
      <c r="J412" s="38" t="n"/>
      <c r="K412" s="34" t="n"/>
    </row>
    <row r="413">
      <c r="A413" s="33" t="n"/>
      <c r="B413" s="32" t="n"/>
      <c r="C413" s="32" t="n"/>
      <c r="D413" s="32" t="n"/>
      <c r="E413" s="32" t="n"/>
      <c r="F413" s="41" t="n"/>
      <c r="G413" s="40" t="n"/>
      <c r="H413" s="40" t="n"/>
      <c r="I413" s="52" t="n"/>
      <c r="J413" s="40" t="n"/>
      <c r="K413" s="32" t="n"/>
    </row>
    <row r="414">
      <c r="A414" s="35" t="n"/>
      <c r="B414" s="34" t="n"/>
      <c r="C414" s="34" t="n"/>
      <c r="D414" s="34" t="n"/>
      <c r="E414" s="34" t="n"/>
      <c r="F414" s="39" t="n"/>
      <c r="G414" s="38" t="n"/>
      <c r="H414" s="38" t="n"/>
      <c r="I414" s="51" t="n"/>
      <c r="J414" s="38" t="n"/>
      <c r="K414" s="34" t="n"/>
    </row>
    <row r="415">
      <c r="A415" s="33" t="n"/>
      <c r="B415" s="32" t="n"/>
      <c r="C415" s="32" t="n"/>
      <c r="D415" s="32" t="n"/>
      <c r="E415" s="32" t="n"/>
      <c r="F415" s="41" t="n"/>
      <c r="G415" s="40" t="n"/>
      <c r="H415" s="40" t="n"/>
      <c r="I415" s="52" t="n"/>
      <c r="J415" s="40" t="n"/>
      <c r="K415" s="32" t="n"/>
    </row>
    <row r="416">
      <c r="A416" s="35" t="n"/>
      <c r="B416" s="34" t="n"/>
      <c r="C416" s="34" t="n"/>
      <c r="D416" s="34" t="n"/>
      <c r="E416" s="34" t="n"/>
      <c r="F416" s="39" t="n"/>
      <c r="G416" s="38" t="n"/>
      <c r="H416" s="38" t="n"/>
      <c r="I416" s="51" t="n"/>
      <c r="J416" s="38" t="n"/>
      <c r="K416" s="34" t="n"/>
    </row>
    <row r="417">
      <c r="A417" s="33" t="n"/>
      <c r="B417" s="32" t="n"/>
      <c r="C417" s="32" t="n"/>
      <c r="D417" s="32" t="n"/>
      <c r="E417" s="32" t="n"/>
      <c r="F417" s="41" t="n"/>
      <c r="G417" s="40" t="n"/>
      <c r="H417" s="40" t="n"/>
      <c r="I417" s="52" t="n"/>
      <c r="J417" s="40" t="n"/>
      <c r="K417" s="32" t="n"/>
    </row>
    <row r="418">
      <c r="A418" s="35" t="n"/>
      <c r="B418" s="34" t="n"/>
      <c r="C418" s="34" t="n"/>
      <c r="D418" s="34" t="n"/>
      <c r="E418" s="34" t="n"/>
      <c r="F418" s="39" t="n"/>
      <c r="G418" s="38" t="n"/>
      <c r="H418" s="38" t="n"/>
      <c r="I418" s="51" t="n"/>
      <c r="J418" s="38" t="n"/>
      <c r="K418" s="34" t="n"/>
    </row>
    <row r="419">
      <c r="A419" s="33" t="n"/>
      <c r="B419" s="32" t="n"/>
      <c r="C419" s="32" t="n"/>
      <c r="D419" s="32" t="n"/>
      <c r="E419" s="32" t="n"/>
      <c r="F419" s="41" t="n"/>
      <c r="G419" s="40" t="n"/>
      <c r="H419" s="40" t="n"/>
      <c r="I419" s="52" t="n"/>
      <c r="J419" s="40" t="n"/>
      <c r="K419" s="32" t="n"/>
    </row>
    <row r="420">
      <c r="A420" s="35" t="n"/>
      <c r="B420" s="34" t="n"/>
      <c r="C420" s="34" t="n"/>
      <c r="D420" s="34" t="n"/>
      <c r="E420" s="34" t="n"/>
      <c r="F420" s="39" t="n"/>
      <c r="G420" s="38" t="n"/>
      <c r="H420" s="38" t="n"/>
      <c r="I420" s="51" t="n"/>
      <c r="J420" s="38" t="n"/>
      <c r="K420" s="34" t="n"/>
    </row>
    <row r="421">
      <c r="A421" s="33" t="n"/>
      <c r="B421" s="32" t="n"/>
      <c r="C421" s="32" t="n"/>
      <c r="D421" s="32" t="n"/>
      <c r="E421" s="32" t="n"/>
      <c r="F421" s="41" t="n"/>
      <c r="G421" s="40" t="n"/>
      <c r="H421" s="40" t="n"/>
      <c r="I421" s="52" t="n"/>
      <c r="J421" s="40" t="n"/>
      <c r="K421" s="32" t="n"/>
    </row>
    <row r="422">
      <c r="A422" s="35" t="n"/>
      <c r="B422" s="34" t="n"/>
      <c r="C422" s="34" t="n"/>
      <c r="D422" s="34" t="n"/>
      <c r="E422" s="34" t="n"/>
      <c r="F422" s="39" t="n"/>
      <c r="G422" s="38" t="n"/>
      <c r="H422" s="38" t="n"/>
      <c r="I422" s="51" t="n"/>
      <c r="J422" s="38" t="n"/>
      <c r="K422" s="34" t="n"/>
    </row>
    <row r="423">
      <c r="A423" s="33" t="n"/>
      <c r="B423" s="32" t="n"/>
      <c r="C423" s="32" t="n"/>
      <c r="D423" s="32" t="n"/>
      <c r="E423" s="32" t="n"/>
      <c r="F423" s="41" t="n"/>
      <c r="G423" s="40" t="n"/>
      <c r="H423" s="40" t="n"/>
      <c r="I423" s="52" t="n"/>
      <c r="J423" s="40" t="n"/>
      <c r="K423" s="32" t="n"/>
    </row>
    <row r="424">
      <c r="A424" s="35" t="n"/>
      <c r="B424" s="34" t="n"/>
      <c r="C424" s="34" t="n"/>
      <c r="D424" s="34" t="n"/>
      <c r="E424" s="34" t="n"/>
      <c r="F424" s="39" t="n"/>
      <c r="G424" s="38" t="n"/>
      <c r="H424" s="38" t="n"/>
      <c r="I424" s="51" t="n"/>
      <c r="J424" s="38" t="n"/>
      <c r="K424" s="34" t="n"/>
    </row>
    <row r="425">
      <c r="A425" s="33" t="n"/>
      <c r="B425" s="32" t="n"/>
      <c r="C425" s="32" t="n"/>
      <c r="D425" s="32" t="n"/>
      <c r="E425" s="32" t="n"/>
      <c r="F425" s="41" t="n"/>
      <c r="G425" s="40" t="n"/>
      <c r="H425" s="40" t="n"/>
      <c r="I425" s="52" t="n"/>
      <c r="J425" s="40" t="n"/>
      <c r="K425" s="32" t="n"/>
    </row>
    <row r="426">
      <c r="A426" s="35" t="n"/>
      <c r="B426" s="34" t="n"/>
      <c r="C426" s="34" t="n"/>
      <c r="D426" s="34" t="n"/>
      <c r="E426" s="34" t="n"/>
      <c r="F426" s="39" t="n"/>
      <c r="G426" s="38" t="n"/>
      <c r="H426" s="38" t="n"/>
      <c r="I426" s="51" t="n"/>
      <c r="J426" s="38" t="n"/>
      <c r="K426" s="34" t="n"/>
    </row>
    <row r="427">
      <c r="A427" s="33" t="n"/>
      <c r="B427" s="32" t="n"/>
      <c r="C427" s="32" t="n"/>
      <c r="D427" s="32" t="n"/>
      <c r="E427" s="32" t="n"/>
      <c r="F427" s="41" t="n"/>
      <c r="G427" s="40" t="n"/>
      <c r="H427" s="40" t="n"/>
      <c r="I427" s="52" t="n"/>
      <c r="J427" s="40" t="n"/>
      <c r="K427" s="32" t="n"/>
    </row>
    <row r="428">
      <c r="A428" s="35" t="n"/>
      <c r="B428" s="34" t="n"/>
      <c r="C428" s="34" t="n"/>
      <c r="D428" s="34" t="n"/>
      <c r="E428" s="34" t="n"/>
      <c r="F428" s="39" t="n"/>
      <c r="G428" s="38" t="n"/>
      <c r="H428" s="38" t="n"/>
      <c r="I428" s="51" t="n"/>
      <c r="J428" s="38" t="n"/>
      <c r="K428" s="34" t="n"/>
    </row>
    <row r="429">
      <c r="A429" s="33" t="n"/>
      <c r="B429" s="32" t="n"/>
      <c r="C429" s="32" t="n"/>
      <c r="D429" s="32" t="n"/>
      <c r="E429" s="32" t="n"/>
      <c r="F429" s="41" t="n"/>
      <c r="G429" s="40" t="n"/>
      <c r="H429" s="40" t="n"/>
      <c r="I429" s="52" t="n"/>
      <c r="J429" s="40" t="n"/>
      <c r="K429" s="32" t="n"/>
    </row>
    <row r="430">
      <c r="A430" s="35" t="n"/>
      <c r="B430" s="34" t="n"/>
      <c r="C430" s="34" t="n"/>
      <c r="D430" s="34" t="n"/>
      <c r="E430" s="34" t="n"/>
      <c r="F430" s="39" t="n"/>
      <c r="G430" s="38" t="n"/>
      <c r="H430" s="38" t="n"/>
      <c r="I430" s="51" t="n"/>
      <c r="J430" s="38" t="n"/>
      <c r="K430" s="34" t="n"/>
    </row>
    <row r="431">
      <c r="A431" s="33" t="n"/>
      <c r="B431" s="32" t="n"/>
      <c r="C431" s="32" t="n"/>
      <c r="D431" s="32" t="n"/>
      <c r="E431" s="32" t="n"/>
      <c r="F431" s="41" t="n"/>
      <c r="G431" s="40" t="n"/>
      <c r="H431" s="40" t="n"/>
      <c r="I431" s="52" t="n"/>
      <c r="J431" s="40" t="n"/>
      <c r="K431" s="32" t="n"/>
    </row>
    <row r="432">
      <c r="A432" s="35" t="n"/>
      <c r="B432" s="34" t="n"/>
      <c r="C432" s="34" t="n"/>
      <c r="D432" s="34" t="n"/>
      <c r="E432" s="34" t="n"/>
      <c r="F432" s="39" t="n"/>
      <c r="G432" s="38" t="n"/>
      <c r="H432" s="38" t="n"/>
      <c r="I432" s="51" t="n"/>
      <c r="J432" s="38" t="n"/>
      <c r="K432" s="34" t="n"/>
    </row>
    <row r="433">
      <c r="A433" s="33" t="n"/>
      <c r="B433" s="32" t="n"/>
      <c r="C433" s="32" t="n"/>
      <c r="D433" s="32" t="n"/>
      <c r="E433" s="32" t="n"/>
      <c r="F433" s="41" t="n"/>
      <c r="G433" s="40" t="n"/>
      <c r="H433" s="40" t="n"/>
      <c r="I433" s="52" t="n"/>
      <c r="J433" s="40" t="n"/>
      <c r="K433" s="32" t="n"/>
    </row>
    <row r="434">
      <c r="A434" s="35" t="n"/>
      <c r="B434" s="34" t="n"/>
      <c r="C434" s="34" t="n"/>
      <c r="D434" s="34" t="n"/>
      <c r="E434" s="34" t="n"/>
      <c r="F434" s="39" t="n"/>
      <c r="G434" s="38" t="n"/>
      <c r="H434" s="38" t="n"/>
      <c r="I434" s="51" t="n"/>
      <c r="J434" s="38" t="n"/>
      <c r="K434" s="34" t="n"/>
    </row>
    <row r="435">
      <c r="A435" s="33" t="n"/>
      <c r="B435" s="32" t="n"/>
      <c r="C435" s="32" t="n"/>
      <c r="D435" s="32" t="n"/>
      <c r="E435" s="32" t="n"/>
      <c r="F435" s="41" t="n"/>
      <c r="G435" s="40" t="n"/>
      <c r="H435" s="40" t="n"/>
      <c r="I435" s="52" t="n"/>
      <c r="J435" s="40" t="n"/>
      <c r="K435" s="32" t="n"/>
    </row>
    <row r="436">
      <c r="A436" s="35" t="n"/>
      <c r="B436" s="34" t="n"/>
      <c r="C436" s="34" t="n"/>
      <c r="D436" s="34" t="n"/>
      <c r="E436" s="34" t="n"/>
      <c r="F436" s="39" t="n"/>
      <c r="G436" s="38" t="n"/>
      <c r="H436" s="38" t="n"/>
      <c r="I436" s="51" t="n"/>
      <c r="J436" s="38" t="n"/>
      <c r="K436" s="34" t="n"/>
    </row>
    <row r="437">
      <c r="A437" s="33" t="n"/>
      <c r="B437" s="32" t="n"/>
      <c r="C437" s="32" t="n"/>
      <c r="D437" s="32" t="n"/>
      <c r="E437" s="32" t="n"/>
      <c r="F437" s="41" t="n"/>
      <c r="G437" s="40" t="n"/>
      <c r="H437" s="40" t="n"/>
      <c r="I437" s="52" t="n"/>
      <c r="J437" s="40" t="n"/>
      <c r="K437" s="32" t="n"/>
    </row>
    <row r="438">
      <c r="A438" s="35" t="n"/>
      <c r="B438" s="34" t="n"/>
      <c r="C438" s="34" t="n"/>
      <c r="D438" s="34" t="n"/>
      <c r="E438" s="34" t="n"/>
      <c r="F438" s="39" t="n"/>
      <c r="G438" s="38" t="n"/>
      <c r="H438" s="38" t="n"/>
      <c r="I438" s="51" t="n"/>
      <c r="J438" s="38" t="n"/>
      <c r="K438" s="34" t="n"/>
    </row>
    <row r="439">
      <c r="A439" s="33" t="n"/>
      <c r="B439" s="32" t="n"/>
      <c r="C439" s="32" t="n"/>
      <c r="D439" s="32" t="n"/>
      <c r="E439" s="32" t="n"/>
      <c r="F439" s="41" t="n"/>
      <c r="G439" s="40" t="n"/>
      <c r="H439" s="40" t="n"/>
      <c r="I439" s="52" t="n"/>
      <c r="J439" s="40" t="n"/>
      <c r="K439" s="32" t="n"/>
    </row>
    <row r="440">
      <c r="A440" s="35" t="n"/>
      <c r="B440" s="34" t="n"/>
      <c r="C440" s="34" t="n"/>
      <c r="D440" s="34" t="n"/>
      <c r="E440" s="34" t="n"/>
      <c r="F440" s="39" t="n"/>
      <c r="G440" s="38" t="n"/>
      <c r="H440" s="38" t="n"/>
      <c r="I440" s="51" t="n"/>
      <c r="J440" s="38" t="n"/>
      <c r="K440" s="34" t="n"/>
    </row>
    <row r="441">
      <c r="A441" s="33" t="n"/>
      <c r="B441" s="32" t="n"/>
      <c r="C441" s="32" t="n"/>
      <c r="D441" s="32" t="n"/>
      <c r="E441" s="32" t="n"/>
      <c r="F441" s="41" t="n"/>
      <c r="G441" s="40" t="n"/>
      <c r="H441" s="40" t="n"/>
      <c r="I441" s="52" t="n"/>
      <c r="J441" s="40" t="n"/>
      <c r="K441" s="32" t="n"/>
    </row>
    <row r="442">
      <c r="A442" s="35" t="n"/>
      <c r="B442" s="34" t="n"/>
      <c r="C442" s="34" t="n"/>
      <c r="D442" s="34" t="n"/>
      <c r="E442" s="34" t="n"/>
      <c r="F442" s="39" t="n"/>
      <c r="G442" s="38" t="n"/>
      <c r="H442" s="38" t="n"/>
      <c r="I442" s="51" t="n"/>
      <c r="J442" s="38" t="n"/>
      <c r="K442" s="34" t="n"/>
    </row>
    <row r="443">
      <c r="A443" s="33" t="n"/>
      <c r="B443" s="32" t="n"/>
      <c r="C443" s="32" t="n"/>
      <c r="D443" s="32" t="n"/>
      <c r="E443" s="32" t="n"/>
      <c r="F443" s="41" t="n"/>
      <c r="G443" s="40" t="n"/>
      <c r="H443" s="40" t="n"/>
      <c r="I443" s="52" t="n"/>
      <c r="J443" s="40" t="n"/>
      <c r="K443" s="32" t="n"/>
    </row>
    <row r="444">
      <c r="A444" s="35" t="n"/>
      <c r="B444" s="34" t="n"/>
      <c r="C444" s="34" t="n"/>
      <c r="D444" s="34" t="n"/>
      <c r="E444" s="34" t="n"/>
      <c r="F444" s="39" t="n"/>
      <c r="G444" s="38" t="n"/>
      <c r="H444" s="38" t="n"/>
      <c r="I444" s="51" t="n"/>
      <c r="J444" s="38" t="n"/>
      <c r="K444" s="34" t="n"/>
    </row>
    <row r="445">
      <c r="A445" s="33" t="n"/>
      <c r="B445" s="32" t="n"/>
      <c r="C445" s="32" t="n"/>
      <c r="D445" s="32" t="n"/>
      <c r="E445" s="32" t="n"/>
      <c r="F445" s="41" t="n"/>
      <c r="G445" s="40" t="n"/>
      <c r="H445" s="40" t="n"/>
      <c r="I445" s="52" t="n"/>
      <c r="J445" s="40" t="n"/>
      <c r="K445" s="32" t="n"/>
    </row>
    <row r="446">
      <c r="A446" s="35" t="n"/>
      <c r="B446" s="34" t="n"/>
      <c r="C446" s="34" t="n"/>
      <c r="D446" s="34" t="n"/>
      <c r="E446" s="34" t="n"/>
      <c r="F446" s="39" t="n"/>
      <c r="G446" s="38" t="n"/>
      <c r="H446" s="38" t="n"/>
      <c r="I446" s="51" t="n"/>
      <c r="J446" s="38" t="n"/>
      <c r="K446" s="34" t="n"/>
    </row>
    <row r="447">
      <c r="A447" s="33" t="n"/>
      <c r="B447" s="32" t="n"/>
      <c r="C447" s="32" t="n"/>
      <c r="D447" s="32" t="n"/>
      <c r="E447" s="32" t="n"/>
      <c r="F447" s="41" t="n"/>
      <c r="G447" s="40" t="n"/>
      <c r="H447" s="40" t="n"/>
      <c r="I447" s="52" t="n"/>
      <c r="J447" s="40" t="n"/>
      <c r="K447" s="32" t="n"/>
    </row>
    <row r="448">
      <c r="A448" s="35" t="n"/>
      <c r="B448" s="34" t="n"/>
      <c r="C448" s="34" t="n"/>
      <c r="D448" s="34" t="n"/>
      <c r="E448" s="34" t="n"/>
      <c r="F448" s="39" t="n"/>
      <c r="G448" s="38" t="n"/>
      <c r="H448" s="38" t="n"/>
      <c r="I448" s="51" t="n"/>
      <c r="J448" s="38" t="n"/>
      <c r="K448" s="34" t="n"/>
    </row>
    <row r="449">
      <c r="A449" s="33" t="n"/>
      <c r="B449" s="32" t="n"/>
      <c r="C449" s="32" t="n"/>
      <c r="D449" s="32" t="n"/>
      <c r="E449" s="32" t="n"/>
      <c r="F449" s="41" t="n"/>
      <c r="G449" s="40" t="n"/>
      <c r="H449" s="40" t="n"/>
      <c r="I449" s="52" t="n"/>
      <c r="J449" s="40" t="n"/>
      <c r="K449" s="32" t="n"/>
    </row>
    <row r="450">
      <c r="A450" s="35" t="n"/>
      <c r="B450" s="34" t="n"/>
      <c r="C450" s="34" t="n"/>
      <c r="D450" s="34" t="n"/>
      <c r="E450" s="34" t="n"/>
      <c r="F450" s="39" t="n"/>
      <c r="G450" s="38" t="n"/>
      <c r="H450" s="38" t="n"/>
      <c r="I450" s="51" t="n"/>
      <c r="J450" s="38" t="n"/>
      <c r="K450" s="34" t="n"/>
    </row>
    <row r="451">
      <c r="A451" s="33" t="n"/>
      <c r="B451" s="32" t="n"/>
      <c r="C451" s="32" t="n"/>
      <c r="D451" s="32" t="n"/>
      <c r="E451" s="32" t="n"/>
      <c r="F451" s="41" t="n"/>
      <c r="G451" s="40" t="n"/>
      <c r="H451" s="40" t="n"/>
      <c r="I451" s="52" t="n"/>
      <c r="J451" s="40" t="n"/>
      <c r="K451" s="32" t="n"/>
    </row>
    <row r="452">
      <c r="A452" s="35" t="n"/>
      <c r="B452" s="34" t="n"/>
      <c r="C452" s="34" t="n"/>
      <c r="D452" s="34" t="n"/>
      <c r="E452" s="34" t="n"/>
      <c r="F452" s="39" t="n"/>
      <c r="G452" s="38" t="n"/>
      <c r="H452" s="38" t="n"/>
      <c r="I452" s="51" t="n"/>
      <c r="J452" s="38" t="n"/>
      <c r="K452" s="34" t="n"/>
    </row>
    <row r="453">
      <c r="A453" s="33" t="n"/>
      <c r="B453" s="32" t="n"/>
      <c r="C453" s="32" t="n"/>
      <c r="D453" s="32" t="n"/>
      <c r="E453" s="32" t="n"/>
      <c r="F453" s="41" t="n"/>
      <c r="G453" s="40" t="n"/>
      <c r="H453" s="40" t="n"/>
      <c r="I453" s="52" t="n"/>
      <c r="J453" s="40" t="n"/>
      <c r="K453" s="32" t="n"/>
    </row>
    <row r="454">
      <c r="A454" s="35" t="n"/>
      <c r="B454" s="34" t="n"/>
      <c r="C454" s="34" t="n"/>
      <c r="D454" s="34" t="n"/>
      <c r="E454" s="34" t="n"/>
      <c r="F454" s="39" t="n"/>
      <c r="G454" s="38" t="n"/>
      <c r="H454" s="38" t="n"/>
      <c r="I454" s="51" t="n"/>
      <c r="J454" s="38" t="n"/>
      <c r="K454" s="34" t="n"/>
    </row>
    <row r="455">
      <c r="A455" s="33" t="n"/>
      <c r="B455" s="32" t="n"/>
      <c r="C455" s="32" t="n"/>
      <c r="D455" s="32" t="n"/>
      <c r="E455" s="32" t="n"/>
      <c r="F455" s="41" t="n"/>
      <c r="G455" s="40" t="n"/>
      <c r="H455" s="40" t="n"/>
      <c r="I455" s="52" t="n"/>
      <c r="J455" s="40" t="n"/>
      <c r="K455" s="32" t="n"/>
    </row>
    <row r="456">
      <c r="A456" s="35" t="n"/>
      <c r="B456" s="34" t="n"/>
      <c r="C456" s="34" t="n"/>
      <c r="D456" s="34" t="n"/>
      <c r="E456" s="34" t="n"/>
      <c r="F456" s="39" t="n"/>
      <c r="G456" s="38" t="n"/>
      <c r="H456" s="38" t="n"/>
      <c r="I456" s="51" t="n"/>
      <c r="J456" s="38" t="n"/>
      <c r="K456" s="34" t="n"/>
    </row>
    <row r="457">
      <c r="A457" s="33" t="n"/>
      <c r="B457" s="32" t="n"/>
      <c r="C457" s="32" t="n"/>
      <c r="D457" s="32" t="n"/>
      <c r="E457" s="32" t="n"/>
      <c r="F457" s="41" t="n"/>
      <c r="G457" s="40" t="n"/>
      <c r="H457" s="40" t="n"/>
      <c r="I457" s="52" t="n"/>
      <c r="J457" s="40" t="n"/>
      <c r="K457" s="32" t="n"/>
    </row>
    <row r="458">
      <c r="A458" s="35" t="n"/>
      <c r="B458" s="34" t="n"/>
      <c r="C458" s="34" t="n"/>
      <c r="D458" s="34" t="n"/>
      <c r="E458" s="34" t="n"/>
      <c r="F458" s="39" t="n"/>
      <c r="G458" s="38" t="n"/>
      <c r="H458" s="38" t="n"/>
      <c r="I458" s="51" t="n"/>
      <c r="J458" s="38" t="n"/>
      <c r="K458" s="34" t="n"/>
    </row>
    <row r="459">
      <c r="A459" s="33" t="n"/>
      <c r="B459" s="32" t="n"/>
      <c r="C459" s="32" t="n"/>
      <c r="D459" s="32" t="n"/>
      <c r="E459" s="32" t="n"/>
      <c r="F459" s="41" t="n"/>
      <c r="G459" s="40" t="n"/>
      <c r="H459" s="40" t="n"/>
      <c r="I459" s="52" t="n"/>
      <c r="J459" s="40" t="n"/>
      <c r="K459" s="32" t="n"/>
    </row>
    <row r="460">
      <c r="A460" s="35" t="n"/>
      <c r="B460" s="34" t="n"/>
      <c r="C460" s="34" t="n"/>
      <c r="D460" s="34" t="n"/>
      <c r="E460" s="34" t="n"/>
      <c r="F460" s="39" t="n"/>
      <c r="G460" s="38" t="n"/>
      <c r="H460" s="38" t="n"/>
      <c r="I460" s="51" t="n"/>
      <c r="J460" s="38" t="n"/>
      <c r="K460" s="34" t="n"/>
    </row>
    <row r="461">
      <c r="A461" s="33" t="n"/>
      <c r="B461" s="32" t="n"/>
      <c r="C461" s="32" t="n"/>
      <c r="D461" s="32" t="n"/>
      <c r="E461" s="32" t="n"/>
      <c r="F461" s="41" t="n"/>
      <c r="G461" s="40" t="n"/>
      <c r="H461" s="40" t="n"/>
      <c r="I461" s="52" t="n"/>
      <c r="J461" s="40" t="n"/>
      <c r="K461" s="32" t="n"/>
    </row>
    <row r="462">
      <c r="A462" s="35" t="n"/>
      <c r="B462" s="34" t="n"/>
      <c r="C462" s="34" t="n"/>
      <c r="D462" s="34" t="n"/>
      <c r="E462" s="34" t="n"/>
      <c r="F462" s="39" t="n"/>
      <c r="G462" s="38" t="n"/>
      <c r="H462" s="38" t="n"/>
      <c r="I462" s="51" t="n"/>
      <c r="J462" s="38" t="n"/>
      <c r="K462" s="34" t="n"/>
    </row>
    <row r="463">
      <c r="A463" s="33" t="n"/>
      <c r="B463" s="32" t="n"/>
      <c r="C463" s="32" t="n"/>
      <c r="D463" s="32" t="n"/>
      <c r="E463" s="32" t="n"/>
      <c r="F463" s="41" t="n"/>
      <c r="G463" s="40" t="n"/>
      <c r="H463" s="40" t="n"/>
      <c r="I463" s="52" t="n"/>
      <c r="J463" s="40" t="n"/>
      <c r="K463" s="32" t="n"/>
    </row>
    <row r="464">
      <c r="A464" s="35" t="n"/>
      <c r="B464" s="34" t="n"/>
      <c r="C464" s="34" t="n"/>
      <c r="D464" s="34" t="n"/>
      <c r="E464" s="34" t="n"/>
      <c r="F464" s="39" t="n"/>
      <c r="G464" s="38" t="n"/>
      <c r="H464" s="38" t="n"/>
      <c r="I464" s="51" t="n"/>
      <c r="J464" s="38" t="n"/>
      <c r="K464" s="34" t="n"/>
    </row>
    <row r="465">
      <c r="A465" s="33" t="n"/>
      <c r="B465" s="32" t="n"/>
      <c r="C465" s="32" t="n"/>
      <c r="D465" s="32" t="n"/>
      <c r="E465" s="32" t="n"/>
      <c r="F465" s="41" t="n"/>
      <c r="G465" s="40" t="n"/>
      <c r="H465" s="40" t="n"/>
      <c r="I465" s="52" t="n"/>
      <c r="J465" s="40" t="n"/>
      <c r="K465" s="32" t="n"/>
    </row>
    <row r="466">
      <c r="A466" s="35" t="n"/>
      <c r="B466" s="34" t="n"/>
      <c r="C466" s="34" t="n"/>
      <c r="D466" s="34" t="n"/>
      <c r="E466" s="34" t="n"/>
      <c r="F466" s="39" t="n"/>
      <c r="G466" s="38" t="n"/>
      <c r="H466" s="38" t="n"/>
      <c r="I466" s="51" t="n"/>
      <c r="J466" s="38" t="n"/>
      <c r="K466" s="34" t="n"/>
    </row>
    <row r="467">
      <c r="A467" s="33" t="n"/>
      <c r="B467" s="32" t="n"/>
      <c r="C467" s="32" t="n"/>
      <c r="D467" s="32" t="n"/>
      <c r="E467" s="32" t="n"/>
      <c r="F467" s="41" t="n"/>
      <c r="G467" s="40" t="n"/>
      <c r="H467" s="40" t="n"/>
      <c r="I467" s="52" t="n"/>
      <c r="J467" s="40" t="n"/>
      <c r="K467" s="32" t="n"/>
    </row>
    <row r="468">
      <c r="A468" s="35" t="n"/>
      <c r="B468" s="34" t="n"/>
      <c r="C468" s="34" t="n"/>
      <c r="D468" s="34" t="n"/>
      <c r="E468" s="34" t="n"/>
      <c r="F468" s="39" t="n"/>
      <c r="G468" s="38" t="n"/>
      <c r="H468" s="38" t="n"/>
      <c r="I468" s="51" t="n"/>
      <c r="J468" s="38" t="n"/>
      <c r="K468" s="34" t="n"/>
    </row>
    <row r="469">
      <c r="A469" s="33" t="n"/>
      <c r="B469" s="32" t="n"/>
      <c r="C469" s="32" t="n"/>
      <c r="D469" s="32" t="n"/>
      <c r="E469" s="32" t="n"/>
      <c r="F469" s="41" t="n"/>
      <c r="G469" s="40" t="n"/>
      <c r="H469" s="40" t="n"/>
      <c r="I469" s="52" t="n"/>
      <c r="J469" s="40" t="n"/>
      <c r="K469" s="32" t="n"/>
    </row>
    <row r="470">
      <c r="A470" s="35" t="n"/>
      <c r="B470" s="34" t="n"/>
      <c r="C470" s="34" t="n"/>
      <c r="D470" s="34" t="n"/>
      <c r="E470" s="34" t="n"/>
      <c r="F470" s="39" t="n"/>
      <c r="G470" s="38" t="n"/>
      <c r="H470" s="38" t="n"/>
      <c r="I470" s="51" t="n"/>
      <c r="J470" s="38" t="n"/>
      <c r="K470" s="34" t="n"/>
    </row>
    <row r="471">
      <c r="A471" s="33" t="n"/>
      <c r="B471" s="32" t="n"/>
      <c r="C471" s="32" t="n"/>
      <c r="D471" s="32" t="n"/>
      <c r="E471" s="32" t="n"/>
      <c r="F471" s="41" t="n"/>
      <c r="G471" s="40" t="n"/>
      <c r="H471" s="40" t="n"/>
      <c r="I471" s="52" t="n"/>
      <c r="J471" s="40" t="n"/>
      <c r="K471" s="32" t="n"/>
    </row>
    <row r="472">
      <c r="A472" s="35" t="n"/>
      <c r="B472" s="34" t="n"/>
      <c r="C472" s="34" t="n"/>
      <c r="D472" s="34" t="n"/>
      <c r="E472" s="34" t="n"/>
      <c r="F472" s="39" t="n"/>
      <c r="G472" s="38" t="n"/>
      <c r="H472" s="38" t="n"/>
      <c r="I472" s="51" t="n"/>
      <c r="J472" s="38" t="n"/>
      <c r="K472" s="34" t="n"/>
    </row>
    <row r="473">
      <c r="A473" s="33" t="n"/>
      <c r="B473" s="32" t="n"/>
      <c r="C473" s="32" t="n"/>
      <c r="D473" s="32" t="n"/>
      <c r="E473" s="32" t="n"/>
      <c r="F473" s="41" t="n"/>
      <c r="G473" s="40" t="n"/>
      <c r="H473" s="40" t="n"/>
      <c r="I473" s="52" t="n"/>
      <c r="J473" s="40" t="n"/>
      <c r="K473" s="32" t="n"/>
    </row>
    <row r="474">
      <c r="A474" s="35" t="n"/>
      <c r="B474" s="34" t="n"/>
      <c r="C474" s="34" t="n"/>
      <c r="D474" s="34" t="n"/>
      <c r="E474" s="34" t="n"/>
      <c r="F474" s="39" t="n"/>
      <c r="G474" s="38" t="n"/>
      <c r="H474" s="38" t="n"/>
      <c r="I474" s="51" t="n"/>
      <c r="J474" s="38" t="n"/>
      <c r="K474" s="34" t="n"/>
    </row>
    <row r="475">
      <c r="A475" s="33" t="n"/>
      <c r="B475" s="32" t="n"/>
      <c r="C475" s="32" t="n"/>
      <c r="D475" s="32" t="n"/>
      <c r="E475" s="32" t="n"/>
      <c r="F475" s="41" t="n"/>
      <c r="G475" s="40" t="n"/>
      <c r="H475" s="40" t="n"/>
      <c r="I475" s="52" t="n"/>
      <c r="J475" s="40" t="n"/>
      <c r="K475" s="32" t="n"/>
    </row>
    <row r="476">
      <c r="A476" s="35" t="n"/>
      <c r="B476" s="34" t="n"/>
      <c r="C476" s="34" t="n"/>
      <c r="D476" s="34" t="n"/>
      <c r="E476" s="34" t="n"/>
      <c r="F476" s="39" t="n"/>
      <c r="G476" s="38" t="n"/>
      <c r="H476" s="38" t="n"/>
      <c r="I476" s="51" t="n"/>
      <c r="J476" s="38" t="n"/>
      <c r="K476" s="34" t="n"/>
    </row>
    <row r="477">
      <c r="A477" s="33" t="n"/>
      <c r="B477" s="32" t="n"/>
      <c r="C477" s="32" t="n"/>
      <c r="D477" s="32" t="n"/>
      <c r="E477" s="32" t="n"/>
      <c r="F477" s="41" t="n"/>
      <c r="G477" s="40" t="n"/>
      <c r="H477" s="40" t="n"/>
      <c r="I477" s="52" t="n"/>
      <c r="J477" s="40" t="n"/>
      <c r="K477" s="32" t="n"/>
    </row>
    <row r="478">
      <c r="A478" s="35" t="n"/>
      <c r="B478" s="34" t="n"/>
      <c r="C478" s="34" t="n"/>
      <c r="D478" s="34" t="n"/>
      <c r="E478" s="34" t="n"/>
      <c r="F478" s="39" t="n"/>
      <c r="G478" s="38" t="n"/>
      <c r="H478" s="38" t="n"/>
      <c r="I478" s="51" t="n"/>
      <c r="J478" s="38" t="n"/>
      <c r="K478" s="34" t="n"/>
    </row>
    <row r="479">
      <c r="A479" s="33" t="n"/>
      <c r="B479" s="32" t="n"/>
      <c r="C479" s="32" t="n"/>
      <c r="D479" s="32" t="n"/>
      <c r="E479" s="32" t="n"/>
      <c r="F479" s="41" t="n"/>
      <c r="G479" s="40" t="n"/>
      <c r="H479" s="40" t="n"/>
      <c r="I479" s="52" t="n"/>
      <c r="J479" s="40" t="n"/>
      <c r="K479" s="32" t="n"/>
    </row>
    <row r="480">
      <c r="A480" s="35" t="n"/>
      <c r="B480" s="34" t="n"/>
      <c r="C480" s="34" t="n"/>
      <c r="D480" s="34" t="n"/>
      <c r="E480" s="34" t="n"/>
      <c r="F480" s="39" t="n"/>
      <c r="G480" s="38" t="n"/>
      <c r="H480" s="38" t="n"/>
      <c r="I480" s="51" t="n"/>
      <c r="J480" s="38" t="n"/>
      <c r="K480" s="34" t="n"/>
    </row>
    <row r="481">
      <c r="A481" s="33" t="n"/>
      <c r="B481" s="32" t="n"/>
      <c r="C481" s="32" t="n"/>
      <c r="D481" s="32" t="n"/>
      <c r="E481" s="32" t="n"/>
      <c r="F481" s="41" t="n"/>
      <c r="G481" s="40" t="n"/>
      <c r="H481" s="40" t="n"/>
      <c r="I481" s="52" t="n"/>
      <c r="J481" s="40" t="n"/>
      <c r="K481" s="32" t="n"/>
    </row>
    <row r="482">
      <c r="A482" s="35" t="n"/>
      <c r="B482" s="34" t="n"/>
      <c r="C482" s="34" t="n"/>
      <c r="D482" s="34" t="n"/>
      <c r="E482" s="34" t="n"/>
      <c r="F482" s="39" t="n"/>
      <c r="G482" s="38" t="n"/>
      <c r="H482" s="38" t="n"/>
      <c r="I482" s="51" t="n"/>
      <c r="J482" s="38" t="n"/>
      <c r="K482" s="34" t="n"/>
    </row>
    <row r="483">
      <c r="A483" s="33" t="n"/>
      <c r="B483" s="32" t="n"/>
      <c r="C483" s="32" t="n"/>
      <c r="D483" s="32" t="n"/>
      <c r="E483" s="32" t="n"/>
      <c r="F483" s="41" t="n"/>
      <c r="G483" s="40" t="n"/>
      <c r="H483" s="40" t="n"/>
      <c r="I483" s="52" t="n"/>
      <c r="J483" s="40" t="n"/>
      <c r="K483" s="32" t="n"/>
    </row>
    <row r="484">
      <c r="A484" s="35" t="n"/>
      <c r="B484" s="34" t="n"/>
      <c r="C484" s="34" t="n"/>
      <c r="D484" s="34" t="n"/>
      <c r="E484" s="34" t="n"/>
      <c r="F484" s="39" t="n"/>
      <c r="G484" s="38" t="n"/>
      <c r="H484" s="38" t="n"/>
      <c r="I484" s="51" t="n"/>
      <c r="J484" s="38" t="n"/>
      <c r="K484" s="34" t="n"/>
    </row>
    <row r="485">
      <c r="A485" s="33" t="n"/>
      <c r="B485" s="32" t="n"/>
      <c r="C485" s="32" t="n"/>
      <c r="D485" s="32" t="n"/>
      <c r="E485" s="32" t="n"/>
      <c r="F485" s="41" t="n"/>
      <c r="G485" s="40" t="n"/>
      <c r="H485" s="40" t="n"/>
      <c r="I485" s="52" t="n"/>
      <c r="J485" s="40" t="n"/>
      <c r="K485" s="32" t="n"/>
    </row>
    <row r="486">
      <c r="A486" s="35" t="n"/>
      <c r="B486" s="34" t="n"/>
      <c r="C486" s="34" t="n"/>
      <c r="D486" s="34" t="n"/>
      <c r="E486" s="34" t="n"/>
      <c r="F486" s="39" t="n"/>
      <c r="G486" s="38" t="n"/>
      <c r="H486" s="38" t="n"/>
      <c r="I486" s="51" t="n"/>
      <c r="J486" s="38" t="n"/>
      <c r="K486" s="34" t="n"/>
    </row>
    <row r="487">
      <c r="A487" s="33" t="n"/>
      <c r="B487" s="32" t="n"/>
      <c r="C487" s="32" t="n"/>
      <c r="D487" s="32" t="n"/>
      <c r="E487" s="32" t="n"/>
      <c r="F487" s="41" t="n"/>
      <c r="G487" s="40" t="n"/>
      <c r="H487" s="40" t="n"/>
      <c r="I487" s="52" t="n"/>
      <c r="J487" s="40" t="n"/>
      <c r="K487" s="32" t="n"/>
    </row>
    <row r="488">
      <c r="A488" s="35" t="n"/>
      <c r="B488" s="34" t="n"/>
      <c r="C488" s="34" t="n"/>
      <c r="D488" s="34" t="n"/>
      <c r="E488" s="34" t="n"/>
      <c r="F488" s="39" t="n"/>
      <c r="G488" s="38" t="n"/>
      <c r="H488" s="38" t="n"/>
      <c r="I488" s="51" t="n"/>
      <c r="J488" s="38" t="n"/>
      <c r="K488" s="34" t="n"/>
    </row>
    <row r="489">
      <c r="A489" s="33" t="n"/>
      <c r="B489" s="32" t="n"/>
      <c r="C489" s="32" t="n"/>
      <c r="D489" s="32" t="n"/>
      <c r="E489" s="32" t="n"/>
      <c r="F489" s="41" t="n"/>
      <c r="G489" s="40" t="n"/>
      <c r="H489" s="40" t="n"/>
      <c r="I489" s="52" t="n"/>
      <c r="J489" s="40" t="n"/>
      <c r="K489" s="32" t="n"/>
    </row>
    <row r="490">
      <c r="A490" s="35" t="n"/>
      <c r="B490" s="34" t="n"/>
      <c r="C490" s="34" t="n"/>
      <c r="D490" s="34" t="n"/>
      <c r="E490" s="34" t="n"/>
      <c r="F490" s="39" t="n"/>
      <c r="G490" s="38" t="n"/>
      <c r="H490" s="38" t="n"/>
      <c r="I490" s="51" t="n"/>
      <c r="J490" s="38" t="n"/>
      <c r="K490" s="34" t="n"/>
    </row>
    <row r="491">
      <c r="A491" s="33" t="n"/>
      <c r="B491" s="32" t="n"/>
      <c r="C491" s="32" t="n"/>
      <c r="D491" s="32" t="n"/>
      <c r="E491" s="32" t="n"/>
      <c r="F491" s="41" t="n"/>
      <c r="G491" s="40" t="n"/>
      <c r="H491" s="40" t="n"/>
      <c r="I491" s="52" t="n"/>
      <c r="J491" s="40" t="n"/>
      <c r="K491" s="32" t="n"/>
    </row>
    <row r="492">
      <c r="A492" s="35" t="n"/>
      <c r="B492" s="34" t="n"/>
      <c r="C492" s="34" t="n"/>
      <c r="D492" s="34" t="n"/>
      <c r="E492" s="34" t="n"/>
      <c r="F492" s="39" t="n"/>
      <c r="G492" s="38" t="n"/>
      <c r="H492" s="38" t="n"/>
      <c r="I492" s="51" t="n"/>
      <c r="J492" s="38" t="n"/>
      <c r="K492" s="34" t="n"/>
    </row>
    <row r="493">
      <c r="A493" s="33" t="n"/>
      <c r="B493" s="32" t="n"/>
      <c r="C493" s="32" t="n"/>
      <c r="D493" s="32" t="n"/>
      <c r="E493" s="32" t="n"/>
      <c r="F493" s="41" t="n"/>
      <c r="G493" s="40" t="n"/>
      <c r="H493" s="40" t="n"/>
      <c r="I493" s="52" t="n"/>
      <c r="J493" s="40" t="n"/>
      <c r="K493" s="32" t="n"/>
    </row>
    <row r="494">
      <c r="A494" s="35" t="n"/>
      <c r="B494" s="34" t="n"/>
      <c r="C494" s="34" t="n"/>
      <c r="D494" s="34" t="n"/>
      <c r="E494" s="34" t="n"/>
      <c r="F494" s="39" t="n"/>
      <c r="G494" s="38" t="n"/>
      <c r="H494" s="38" t="n"/>
      <c r="I494" s="51" t="n"/>
      <c r="J494" s="38" t="n"/>
      <c r="K494" s="34" t="n"/>
    </row>
    <row r="495">
      <c r="A495" s="33" t="n"/>
      <c r="B495" s="32" t="n"/>
      <c r="C495" s="32" t="n"/>
      <c r="D495" s="32" t="n"/>
      <c r="E495" s="32" t="n"/>
      <c r="F495" s="41" t="n"/>
      <c r="G495" s="40" t="n"/>
      <c r="H495" s="40" t="n"/>
      <c r="I495" s="52" t="n"/>
      <c r="J495" s="40" t="n"/>
      <c r="K495" s="32" t="n"/>
    </row>
    <row r="496">
      <c r="A496" s="35" t="n"/>
      <c r="B496" s="34" t="n"/>
      <c r="C496" s="34" t="n"/>
      <c r="D496" s="34" t="n"/>
      <c r="E496" s="34" t="n"/>
      <c r="F496" s="39" t="n"/>
      <c r="G496" s="38" t="n"/>
      <c r="H496" s="38" t="n"/>
      <c r="I496" s="51" t="n"/>
      <c r="J496" s="38" t="n"/>
      <c r="K496" s="34" t="n"/>
    </row>
    <row r="497">
      <c r="A497" s="33" t="n"/>
      <c r="B497" s="32" t="n"/>
      <c r="C497" s="32" t="n"/>
      <c r="D497" s="32" t="n"/>
      <c r="E497" s="32" t="n"/>
      <c r="F497" s="41" t="n"/>
      <c r="G497" s="40" t="n"/>
      <c r="H497" s="40" t="n"/>
      <c r="I497" s="52" t="n"/>
      <c r="J497" s="40" t="n"/>
      <c r="K497" s="32" t="n"/>
    </row>
    <row r="498">
      <c r="A498" s="35" t="n"/>
      <c r="B498" s="34" t="n"/>
      <c r="C498" s="34" t="n"/>
      <c r="D498" s="34" t="n"/>
      <c r="E498" s="34" t="n"/>
      <c r="F498" s="39" t="n"/>
      <c r="G498" s="38" t="n"/>
      <c r="H498" s="38" t="n"/>
      <c r="I498" s="51" t="n"/>
      <c r="J498" s="38" t="n"/>
      <c r="K498" s="34" t="n"/>
    </row>
    <row r="499">
      <c r="A499" s="33" t="n"/>
      <c r="B499" s="32" t="n"/>
      <c r="C499" s="32" t="n"/>
      <c r="D499" s="32" t="n"/>
      <c r="E499" s="32" t="n"/>
      <c r="F499" s="41" t="n"/>
      <c r="G499" s="40" t="n"/>
      <c r="H499" s="40" t="n"/>
      <c r="I499" s="52" t="n"/>
      <c r="J499" s="40" t="n"/>
      <c r="K499" s="32" t="n"/>
    </row>
    <row r="500">
      <c r="A500" s="35" t="n"/>
      <c r="B500" s="34" t="n"/>
      <c r="C500" s="34" t="n"/>
      <c r="D500" s="34" t="n"/>
      <c r="E500" s="34" t="n"/>
      <c r="F500" s="39" t="n"/>
      <c r="G500" s="38" t="n"/>
      <c r="H500" s="38" t="n"/>
      <c r="I500" s="51" t="n"/>
      <c r="J500" s="38" t="n"/>
      <c r="K500" s="34" t="n"/>
    </row>
  </sheetData>
  <autoFilter ref="A3:K500"/>
  <mergeCells count="2">
    <mergeCell ref="A2:K2"/>
    <mergeCell ref="A1:K1"/>
  </mergeCells>
  <dataValidations count="4">
    <dataValidation sqref="B4:B500" showDropDown="0" showInputMessage="0" showErrorMessage="0" allowBlank="1" type="list">
      <formula1>=F_Kennz</formula1>
    </dataValidation>
    <dataValidation sqref="C4:C500" showDropDown="0" showInputMessage="0" showErrorMessage="0" allowBlank="1" type="list">
      <formula1>=L_Typ</formula1>
    </dataValidation>
    <dataValidation sqref="D4:D500" showDropDown="0" showInputMessage="0" showErrorMessage="0" allowBlank="1" type="list">
      <formula1>=L_Wartung</formula1>
    </dataValidation>
    <dataValidation sqref="E4:E500" showDropDown="0" showInputMessage="0" showErrorMessage="0" allowBlank="1" type="list">
      <formula1>=L_Kosten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548235"/>
    <outlinePr summaryBelow="1" summaryRight="1"/>
    <pageSetUpPr/>
  </sheetPr>
  <dimension ref="A1:L60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4" customWidth="1" min="4" max="4"/>
    <col width="14" customWidth="1" min="5" max="5"/>
    <col width="12" customWidth="1" min="6" max="6"/>
    <col width="13" customWidth="1" min="7" max="7"/>
    <col width="18" customWidth="1" min="8" max="8"/>
    <col width="13" customWidth="1" min="9" max="9"/>
    <col width="18" customWidth="1" min="10" max="10"/>
    <col width="14" customWidth="1" min="11" max="11"/>
    <col width="22" customWidth="1" min="12" max="12"/>
  </cols>
  <sheetData>
    <row r="1" ht="36" customHeight="1">
      <c r="A1" s="36" t="inlineStr">
        <is>
          <t>TANKKOSTEN &amp; VERBRAUCH</t>
        </is>
      </c>
    </row>
    <row r="2" ht="18" customHeight="1">
      <c r="A2" s="2" t="inlineStr">
        <is>
          <t>Gesamt, Verbrauch (L/100km) &amp; Kosten/km werden automatisch berechnet.</t>
        </is>
      </c>
    </row>
    <row r="3" ht="26" customHeight="1">
      <c r="A3" s="37" t="inlineStr">
        <is>
          <t>Datum</t>
        </is>
      </c>
      <c r="B3" s="37" t="inlineStr">
        <is>
          <t>Kennzeichen</t>
        </is>
      </c>
      <c r="C3" s="37" t="inlineStr">
        <is>
          <t>km-Stand</t>
        </is>
      </c>
      <c r="D3" s="37" t="inlineStr">
        <is>
          <t>Getankt (Liter)</t>
        </is>
      </c>
      <c r="E3" s="37" t="inlineStr">
        <is>
          <t>Preis/Liter (€)</t>
        </is>
      </c>
      <c r="F3" s="37" t="inlineStr">
        <is>
          <t>Gesamt (€)</t>
        </is>
      </c>
      <c r="G3" s="37" t="inlineStr">
        <is>
          <t>Strecke (km)</t>
        </is>
      </c>
      <c r="H3" s="37" t="inlineStr">
        <is>
          <t>Verbrauch (L/100km)</t>
        </is>
      </c>
      <c r="I3" s="37" t="inlineStr">
        <is>
          <t>Kosten/km (€)</t>
        </is>
      </c>
      <c r="J3" s="37" t="inlineStr">
        <is>
          <t>Tankstelle</t>
        </is>
      </c>
      <c r="K3" s="37" t="inlineStr">
        <is>
          <t>Fahrer</t>
        </is>
      </c>
      <c r="L3" s="37" t="inlineStr">
        <is>
          <t>Notiz</t>
        </is>
      </c>
    </row>
    <row r="4">
      <c r="A4" s="35" t="n">
        <v>46144</v>
      </c>
      <c r="B4" s="34" t="inlineStr">
        <is>
          <t>B-AH 1001</t>
        </is>
      </c>
      <c r="C4" s="39" t="n">
        <v>66000</v>
      </c>
      <c r="D4" s="53" t="n">
        <v>52</v>
      </c>
      <c r="E4" s="54" t="n">
        <v>1.689</v>
      </c>
      <c r="F4" s="55">
        <f>IF(OR(D4="",E4=""),"",D4*E4)</f>
        <v/>
      </c>
      <c r="G4" s="48" t="inlineStr"/>
      <c r="H4" s="56">
        <f>IF(OR(G4="",G4=0,D4=""),"",D4/G4*100)</f>
        <v/>
      </c>
      <c r="I4" s="57">
        <f>IF(OR(G4="",G4=0,F4=""),"",F4/G4)</f>
        <v/>
      </c>
      <c r="J4" s="38" t="inlineStr">
        <is>
          <t>Aral</t>
        </is>
      </c>
      <c r="K4" s="38" t="n"/>
      <c r="L4" s="38" t="n"/>
    </row>
    <row r="5">
      <c r="A5" s="33" t="n">
        <v>46160</v>
      </c>
      <c r="B5" s="32" t="inlineStr">
        <is>
          <t>B-AH 1001</t>
        </is>
      </c>
      <c r="C5" s="41" t="n">
        <v>67250</v>
      </c>
      <c r="D5" s="58" t="n">
        <v>48.5</v>
      </c>
      <c r="E5" s="59" t="n">
        <v>1.659</v>
      </c>
      <c r="F5" s="55">
        <f>IF(OR(D5="",E5=""),"",D5*E5)</f>
        <v/>
      </c>
      <c r="G5" s="48">
        <f>IF(OR(B5="",C5=""),"",IFERROR(IF(MAXIFS($C$4:C4,$B$4:B4,B5)=0,"",C5-MAXIFS($C$4:C4,$B$4:B4,B5)),""))</f>
        <v/>
      </c>
      <c r="H5" s="56">
        <f>IF(OR(G5="",G5=0,D5=""),"",D5/G5*100)</f>
        <v/>
      </c>
      <c r="I5" s="57">
        <f>IF(OR(G5="",G5=0,F5=""),"",F5/G5)</f>
        <v/>
      </c>
      <c r="J5" s="40" t="inlineStr">
        <is>
          <t>Shell</t>
        </is>
      </c>
      <c r="K5" s="40" t="n"/>
      <c r="L5" s="40" t="n"/>
    </row>
    <row r="6">
      <c r="A6" s="35" t="n">
        <v>46172</v>
      </c>
      <c r="B6" s="34" t="inlineStr">
        <is>
          <t>B-AH 1001</t>
        </is>
      </c>
      <c r="C6" s="39" t="n">
        <v>68500</v>
      </c>
      <c r="D6" s="53" t="n">
        <v>49.2</v>
      </c>
      <c r="E6" s="54" t="n">
        <v>1.699</v>
      </c>
      <c r="F6" s="55">
        <f>IF(OR(D6="",E6=""),"",D6*E6)</f>
        <v/>
      </c>
      <c r="G6" s="48">
        <f>IF(OR(B6="",C6=""),"",IFERROR(IF(MAXIFS($C$4:C5,$B$4:B5,B6)=0,"",C6-MAXIFS($C$4:C5,$B$4:B5,B6)),""))</f>
        <v/>
      </c>
      <c r="H6" s="56">
        <f>IF(OR(G6="",G6=0,D6=""),"",D6/G6*100)</f>
        <v/>
      </c>
      <c r="I6" s="57">
        <f>IF(OR(G6="",G6=0,F6=""),"",F6/G6)</f>
        <v/>
      </c>
      <c r="J6" s="38" t="inlineStr">
        <is>
          <t>Aral</t>
        </is>
      </c>
      <c r="K6" s="38" t="n"/>
      <c r="L6" s="38" t="n"/>
    </row>
    <row r="7">
      <c r="A7" s="33" t="n">
        <v>46148</v>
      </c>
      <c r="B7" s="32" t="inlineStr">
        <is>
          <t>B-AH 2050</t>
        </is>
      </c>
      <c r="C7" s="41" t="n">
        <v>138000</v>
      </c>
      <c r="D7" s="58" t="n">
        <v>78</v>
      </c>
      <c r="E7" s="59" t="n">
        <v>1.589</v>
      </c>
      <c r="F7" s="55">
        <f>IF(OR(D7="",E7=""),"",D7*E7)</f>
        <v/>
      </c>
      <c r="G7" s="48">
        <f>IF(OR(B7="",C7=""),"",IFERROR(IF(MAXIFS($C$4:C6,$B$4:B6,B7)=0,"",C7-MAXIFS($C$4:C6,$B$4:B6,B7)),""))</f>
        <v/>
      </c>
      <c r="H7" s="56">
        <f>IF(OR(G7="",G7=0,D7=""),"",D7/G7*100)</f>
        <v/>
      </c>
      <c r="I7" s="57">
        <f>IF(OR(G7="",G7=0,F7=""),"",F7/G7)</f>
        <v/>
      </c>
      <c r="J7" s="40" t="inlineStr">
        <is>
          <t>Esso</t>
        </is>
      </c>
      <c r="K7" s="40" t="n"/>
      <c r="L7" s="40" t="n"/>
    </row>
    <row r="8">
      <c r="A8" s="35" t="n">
        <v>46166</v>
      </c>
      <c r="B8" s="34" t="inlineStr">
        <is>
          <t>B-AH 2050</t>
        </is>
      </c>
      <c r="C8" s="39" t="n">
        <v>142300</v>
      </c>
      <c r="D8" s="53" t="n">
        <v>82.5</v>
      </c>
      <c r="E8" s="54" t="n">
        <v>1.609</v>
      </c>
      <c r="F8" s="55">
        <f>IF(OR(D8="",E8=""),"",D8*E8)</f>
        <v/>
      </c>
      <c r="G8" s="48">
        <f>IF(OR(B8="",C8=""),"",IFERROR(IF(MAXIFS($C$4:C7,$B$4:B7,B8)=0,"",C8-MAXIFS($C$4:C7,$B$4:B7,B8)),""))</f>
        <v/>
      </c>
      <c r="H8" s="56">
        <f>IF(OR(G8="",G8=0,D8=""),"",D8/G8*100)</f>
        <v/>
      </c>
      <c r="I8" s="57">
        <f>IF(OR(G8="",G8=0,F8=""),"",F8/G8)</f>
        <v/>
      </c>
      <c r="J8" s="38" t="inlineStr">
        <is>
          <t>Aral</t>
        </is>
      </c>
      <c r="K8" s="38" t="n"/>
      <c r="L8" s="38" t="n"/>
    </row>
    <row r="9">
      <c r="A9" s="33" t="n">
        <v>46152</v>
      </c>
      <c r="B9" s="32" t="inlineStr">
        <is>
          <t>B-AH 7800</t>
        </is>
      </c>
      <c r="C9" s="41" t="n">
        <v>512000</v>
      </c>
      <c r="D9" s="58" t="n">
        <v>420</v>
      </c>
      <c r="E9" s="59" t="n">
        <v>1.549</v>
      </c>
      <c r="F9" s="55">
        <f>IF(OR(D9="",E9=""),"",D9*E9)</f>
        <v/>
      </c>
      <c r="G9" s="48">
        <f>IF(OR(B9="",C9=""),"",IFERROR(IF(MAXIFS($C$4:C8,$B$4:B8,B9)=0,"",C9-MAXIFS($C$4:C8,$B$4:B8,B9)),""))</f>
        <v/>
      </c>
      <c r="H9" s="56">
        <f>IF(OR(G9="",G9=0,D9=""),"",D9/G9*100)</f>
        <v/>
      </c>
      <c r="I9" s="57">
        <f>IF(OR(G9="",G9=0,F9=""),"",F9/G9)</f>
        <v/>
      </c>
      <c r="J9" s="40" t="inlineStr">
        <is>
          <t>Tankpool</t>
        </is>
      </c>
      <c r="K9" s="40" t="n"/>
      <c r="L9" s="40" t="n"/>
    </row>
    <row r="10">
      <c r="A10" s="35" t="n">
        <v>46170</v>
      </c>
      <c r="B10" s="34" t="inlineStr">
        <is>
          <t>B-AH 7800</t>
        </is>
      </c>
      <c r="C10" s="39" t="n">
        <v>520400</v>
      </c>
      <c r="D10" s="53" t="n">
        <v>455</v>
      </c>
      <c r="E10" s="54" t="n">
        <v>1.559</v>
      </c>
      <c r="F10" s="55">
        <f>IF(OR(D10="",E10=""),"",D10*E10)</f>
        <v/>
      </c>
      <c r="G10" s="48">
        <f>IF(OR(B10="",C10=""),"",IFERROR(IF(MAXIFS($C$4:C9,$B$4:B9,B10)=0,"",C10-MAXIFS($C$4:C9,$B$4:B9,B10)),""))</f>
        <v/>
      </c>
      <c r="H10" s="56">
        <f>IF(OR(G10="",G10=0,D10=""),"",D10/G10*100)</f>
        <v/>
      </c>
      <c r="I10" s="57">
        <f>IF(OR(G10="",G10=0,F10=""),"",F10/G10)</f>
        <v/>
      </c>
      <c r="J10" s="38" t="inlineStr">
        <is>
          <t>Tankpool</t>
        </is>
      </c>
      <c r="K10" s="38" t="n"/>
      <c r="L10" s="38" t="n"/>
    </row>
    <row r="11">
      <c r="A11" s="33" t="n"/>
      <c r="B11" s="32" t="n"/>
      <c r="C11" s="41" t="n"/>
      <c r="D11" s="58" t="n"/>
      <c r="E11" s="59" t="n"/>
      <c r="F11" s="55">
        <f>IF(OR(D11="",E11=""),"",D11*E11)</f>
        <v/>
      </c>
      <c r="G11" s="48">
        <f>IF(OR(B11="",C11=""),"",IFERROR(IF(MAXIFS($C$4:C10,$B$4:B10,B11)=0,"",C11-MAXIFS($C$4:C10,$B$4:B10,B11)),""))</f>
        <v/>
      </c>
      <c r="H11" s="56">
        <f>IF(OR(G11="",G11=0,D11=""),"",D11/G11*100)</f>
        <v/>
      </c>
      <c r="I11" s="57">
        <f>IF(OR(G11="",G11=0,F11=""),"",F11/G11)</f>
        <v/>
      </c>
      <c r="J11" s="40" t="n"/>
      <c r="K11" s="40" t="n"/>
      <c r="L11" s="40" t="n"/>
    </row>
    <row r="12">
      <c r="A12" s="35" t="n"/>
      <c r="B12" s="34" t="n"/>
      <c r="C12" s="39" t="n"/>
      <c r="D12" s="53" t="n"/>
      <c r="E12" s="54" t="n"/>
      <c r="F12" s="55">
        <f>IF(OR(D12="",E12=""),"",D12*E12)</f>
        <v/>
      </c>
      <c r="G12" s="48">
        <f>IF(OR(B12="",C12=""),"",IFERROR(IF(MAXIFS($C$4:C11,$B$4:B11,B12)=0,"",C12-MAXIFS($C$4:C11,$B$4:B11,B12)),""))</f>
        <v/>
      </c>
      <c r="H12" s="56">
        <f>IF(OR(G12="",G12=0,D12=""),"",D12/G12*100)</f>
        <v/>
      </c>
      <c r="I12" s="57">
        <f>IF(OR(G12="",G12=0,F12=""),"",F12/G12)</f>
        <v/>
      </c>
      <c r="J12" s="38" t="n"/>
      <c r="K12" s="38" t="n"/>
      <c r="L12" s="38" t="n"/>
    </row>
    <row r="13">
      <c r="A13" s="33" t="n"/>
      <c r="B13" s="32" t="n"/>
      <c r="C13" s="41" t="n"/>
      <c r="D13" s="58" t="n"/>
      <c r="E13" s="59" t="n"/>
      <c r="F13" s="55">
        <f>IF(OR(D13="",E13=""),"",D13*E13)</f>
        <v/>
      </c>
      <c r="G13" s="48">
        <f>IF(OR(B13="",C13=""),"",IFERROR(IF(MAXIFS($C$4:C12,$B$4:B12,B13)=0,"",C13-MAXIFS($C$4:C12,$B$4:B12,B13)),""))</f>
        <v/>
      </c>
      <c r="H13" s="56">
        <f>IF(OR(G13="",G13=0,D13=""),"",D13/G13*100)</f>
        <v/>
      </c>
      <c r="I13" s="57">
        <f>IF(OR(G13="",G13=0,F13=""),"",F13/G13)</f>
        <v/>
      </c>
      <c r="J13" s="40" t="n"/>
      <c r="K13" s="40" t="n"/>
      <c r="L13" s="40" t="n"/>
    </row>
    <row r="14">
      <c r="A14" s="35" t="n"/>
      <c r="B14" s="34" t="n"/>
      <c r="C14" s="39" t="n"/>
      <c r="D14" s="53" t="n"/>
      <c r="E14" s="54" t="n"/>
      <c r="F14" s="55">
        <f>IF(OR(D14="",E14=""),"",D14*E14)</f>
        <v/>
      </c>
      <c r="G14" s="48">
        <f>IF(OR(B14="",C14=""),"",IFERROR(IF(MAXIFS($C$4:C13,$B$4:B13,B14)=0,"",C14-MAXIFS($C$4:C13,$B$4:B13,B14)),""))</f>
        <v/>
      </c>
      <c r="H14" s="56">
        <f>IF(OR(G14="",G14=0,D14=""),"",D14/G14*100)</f>
        <v/>
      </c>
      <c r="I14" s="57">
        <f>IF(OR(G14="",G14=0,F14=""),"",F14/G14)</f>
        <v/>
      </c>
      <c r="J14" s="38" t="n"/>
      <c r="K14" s="38" t="n"/>
      <c r="L14" s="38" t="n"/>
    </row>
    <row r="15">
      <c r="A15" s="33" t="n"/>
      <c r="B15" s="32" t="n"/>
      <c r="C15" s="41" t="n"/>
      <c r="D15" s="58" t="n"/>
      <c r="E15" s="59" t="n"/>
      <c r="F15" s="55">
        <f>IF(OR(D15="",E15=""),"",D15*E15)</f>
        <v/>
      </c>
      <c r="G15" s="48">
        <f>IF(OR(B15="",C15=""),"",IFERROR(IF(MAXIFS($C$4:C14,$B$4:B14,B15)=0,"",C15-MAXIFS($C$4:C14,$B$4:B14,B15)),""))</f>
        <v/>
      </c>
      <c r="H15" s="56">
        <f>IF(OR(G15="",G15=0,D15=""),"",D15/G15*100)</f>
        <v/>
      </c>
      <c r="I15" s="57">
        <f>IF(OR(G15="",G15=0,F15=""),"",F15/G15)</f>
        <v/>
      </c>
      <c r="J15" s="40" t="n"/>
      <c r="K15" s="40" t="n"/>
      <c r="L15" s="40" t="n"/>
    </row>
    <row r="16">
      <c r="A16" s="35" t="n"/>
      <c r="B16" s="34" t="n"/>
      <c r="C16" s="39" t="n"/>
      <c r="D16" s="53" t="n"/>
      <c r="E16" s="54" t="n"/>
      <c r="F16" s="55">
        <f>IF(OR(D16="",E16=""),"",D16*E16)</f>
        <v/>
      </c>
      <c r="G16" s="48">
        <f>IF(OR(B16="",C16=""),"",IFERROR(IF(MAXIFS($C$4:C15,$B$4:B15,B16)=0,"",C16-MAXIFS($C$4:C15,$B$4:B15,B16)),""))</f>
        <v/>
      </c>
      <c r="H16" s="56">
        <f>IF(OR(G16="",G16=0,D16=""),"",D16/G16*100)</f>
        <v/>
      </c>
      <c r="I16" s="57">
        <f>IF(OR(G16="",G16=0,F16=""),"",F16/G16)</f>
        <v/>
      </c>
      <c r="J16" s="38" t="n"/>
      <c r="K16" s="38" t="n"/>
      <c r="L16" s="38" t="n"/>
    </row>
    <row r="17">
      <c r="A17" s="33" t="n"/>
      <c r="B17" s="32" t="n"/>
      <c r="C17" s="41" t="n"/>
      <c r="D17" s="58" t="n"/>
      <c r="E17" s="59" t="n"/>
      <c r="F17" s="55">
        <f>IF(OR(D17="",E17=""),"",D17*E17)</f>
        <v/>
      </c>
      <c r="G17" s="48">
        <f>IF(OR(B17="",C17=""),"",IFERROR(IF(MAXIFS($C$4:C16,$B$4:B16,B17)=0,"",C17-MAXIFS($C$4:C16,$B$4:B16,B17)),""))</f>
        <v/>
      </c>
      <c r="H17" s="56">
        <f>IF(OR(G17="",G17=0,D17=""),"",D17/G17*100)</f>
        <v/>
      </c>
      <c r="I17" s="57">
        <f>IF(OR(G17="",G17=0,F17=""),"",F17/G17)</f>
        <v/>
      </c>
      <c r="J17" s="40" t="n"/>
      <c r="K17" s="40" t="n"/>
      <c r="L17" s="40" t="n"/>
    </row>
    <row r="18">
      <c r="A18" s="35" t="n"/>
      <c r="B18" s="34" t="n"/>
      <c r="C18" s="39" t="n"/>
      <c r="D18" s="53" t="n"/>
      <c r="E18" s="54" t="n"/>
      <c r="F18" s="55">
        <f>IF(OR(D18="",E18=""),"",D18*E18)</f>
        <v/>
      </c>
      <c r="G18" s="48">
        <f>IF(OR(B18="",C18=""),"",IFERROR(IF(MAXIFS($C$4:C17,$B$4:B17,B18)=0,"",C18-MAXIFS($C$4:C17,$B$4:B17,B18)),""))</f>
        <v/>
      </c>
      <c r="H18" s="56">
        <f>IF(OR(G18="",G18=0,D18=""),"",D18/G18*100)</f>
        <v/>
      </c>
      <c r="I18" s="57">
        <f>IF(OR(G18="",G18=0,F18=""),"",F18/G18)</f>
        <v/>
      </c>
      <c r="J18" s="38" t="n"/>
      <c r="K18" s="38" t="n"/>
      <c r="L18" s="38" t="n"/>
    </row>
    <row r="19">
      <c r="A19" s="33" t="n"/>
      <c r="B19" s="32" t="n"/>
      <c r="C19" s="41" t="n"/>
      <c r="D19" s="58" t="n"/>
      <c r="E19" s="59" t="n"/>
      <c r="F19" s="55">
        <f>IF(OR(D19="",E19=""),"",D19*E19)</f>
        <v/>
      </c>
      <c r="G19" s="48">
        <f>IF(OR(B19="",C19=""),"",IFERROR(IF(MAXIFS($C$4:C18,$B$4:B18,B19)=0,"",C19-MAXIFS($C$4:C18,$B$4:B18,B19)),""))</f>
        <v/>
      </c>
      <c r="H19" s="56">
        <f>IF(OR(G19="",G19=0,D19=""),"",D19/G19*100)</f>
        <v/>
      </c>
      <c r="I19" s="57">
        <f>IF(OR(G19="",G19=0,F19=""),"",F19/G19)</f>
        <v/>
      </c>
      <c r="J19" s="40" t="n"/>
      <c r="K19" s="40" t="n"/>
      <c r="L19" s="40" t="n"/>
    </row>
    <row r="20">
      <c r="A20" s="35" t="n"/>
      <c r="B20" s="34" t="n"/>
      <c r="C20" s="39" t="n"/>
      <c r="D20" s="53" t="n"/>
      <c r="E20" s="54" t="n"/>
      <c r="F20" s="55">
        <f>IF(OR(D20="",E20=""),"",D20*E20)</f>
        <v/>
      </c>
      <c r="G20" s="48">
        <f>IF(OR(B20="",C20=""),"",IFERROR(IF(MAXIFS($C$4:C19,$B$4:B19,B20)=0,"",C20-MAXIFS($C$4:C19,$B$4:B19,B20)),""))</f>
        <v/>
      </c>
      <c r="H20" s="56">
        <f>IF(OR(G20="",G20=0,D20=""),"",D20/G20*100)</f>
        <v/>
      </c>
      <c r="I20" s="57">
        <f>IF(OR(G20="",G20=0,F20=""),"",F20/G20)</f>
        <v/>
      </c>
      <c r="J20" s="38" t="n"/>
      <c r="K20" s="38" t="n"/>
      <c r="L20" s="38" t="n"/>
    </row>
    <row r="21">
      <c r="A21" s="33" t="n"/>
      <c r="B21" s="32" t="n"/>
      <c r="C21" s="41" t="n"/>
      <c r="D21" s="58" t="n"/>
      <c r="E21" s="59" t="n"/>
      <c r="F21" s="55">
        <f>IF(OR(D21="",E21=""),"",D21*E21)</f>
        <v/>
      </c>
      <c r="G21" s="48">
        <f>IF(OR(B21="",C21=""),"",IFERROR(IF(MAXIFS($C$4:C20,$B$4:B20,B21)=0,"",C21-MAXIFS($C$4:C20,$B$4:B20,B21)),""))</f>
        <v/>
      </c>
      <c r="H21" s="56">
        <f>IF(OR(G21="",G21=0,D21=""),"",D21/G21*100)</f>
        <v/>
      </c>
      <c r="I21" s="57">
        <f>IF(OR(G21="",G21=0,F21=""),"",F21/G21)</f>
        <v/>
      </c>
      <c r="J21" s="40" t="n"/>
      <c r="K21" s="40" t="n"/>
      <c r="L21" s="40" t="n"/>
    </row>
    <row r="22">
      <c r="A22" s="35" t="n"/>
      <c r="B22" s="34" t="n"/>
      <c r="C22" s="39" t="n"/>
      <c r="D22" s="53" t="n"/>
      <c r="E22" s="54" t="n"/>
      <c r="F22" s="55">
        <f>IF(OR(D22="",E22=""),"",D22*E22)</f>
        <v/>
      </c>
      <c r="G22" s="48">
        <f>IF(OR(B22="",C22=""),"",IFERROR(IF(MAXIFS($C$4:C21,$B$4:B21,B22)=0,"",C22-MAXIFS($C$4:C21,$B$4:B21,B22)),""))</f>
        <v/>
      </c>
      <c r="H22" s="56">
        <f>IF(OR(G22="",G22=0,D22=""),"",D22/G22*100)</f>
        <v/>
      </c>
      <c r="I22" s="57">
        <f>IF(OR(G22="",G22=0,F22=""),"",F22/G22)</f>
        <v/>
      </c>
      <c r="J22" s="38" t="n"/>
      <c r="K22" s="38" t="n"/>
      <c r="L22" s="38" t="n"/>
    </row>
    <row r="23">
      <c r="A23" s="33" t="n"/>
      <c r="B23" s="32" t="n"/>
      <c r="C23" s="41" t="n"/>
      <c r="D23" s="58" t="n"/>
      <c r="E23" s="59" t="n"/>
      <c r="F23" s="55">
        <f>IF(OR(D23="",E23=""),"",D23*E23)</f>
        <v/>
      </c>
      <c r="G23" s="48">
        <f>IF(OR(B23="",C23=""),"",IFERROR(IF(MAXIFS($C$4:C22,$B$4:B22,B23)=0,"",C23-MAXIFS($C$4:C22,$B$4:B22,B23)),""))</f>
        <v/>
      </c>
      <c r="H23" s="56">
        <f>IF(OR(G23="",G23=0,D23=""),"",D23/G23*100)</f>
        <v/>
      </c>
      <c r="I23" s="57">
        <f>IF(OR(G23="",G23=0,F23=""),"",F23/G23)</f>
        <v/>
      </c>
      <c r="J23" s="40" t="n"/>
      <c r="K23" s="40" t="n"/>
      <c r="L23" s="40" t="n"/>
    </row>
    <row r="24">
      <c r="A24" s="35" t="n"/>
      <c r="B24" s="34" t="n"/>
      <c r="C24" s="39" t="n"/>
      <c r="D24" s="53" t="n"/>
      <c r="E24" s="54" t="n"/>
      <c r="F24" s="55">
        <f>IF(OR(D24="",E24=""),"",D24*E24)</f>
        <v/>
      </c>
      <c r="G24" s="48">
        <f>IF(OR(B24="",C24=""),"",IFERROR(IF(MAXIFS($C$4:C23,$B$4:B23,B24)=0,"",C24-MAXIFS($C$4:C23,$B$4:B23,B24)),""))</f>
        <v/>
      </c>
      <c r="H24" s="56">
        <f>IF(OR(G24="",G24=0,D24=""),"",D24/G24*100)</f>
        <v/>
      </c>
      <c r="I24" s="57">
        <f>IF(OR(G24="",G24=0,F24=""),"",F24/G24)</f>
        <v/>
      </c>
      <c r="J24" s="38" t="n"/>
      <c r="K24" s="38" t="n"/>
      <c r="L24" s="38" t="n"/>
    </row>
    <row r="25">
      <c r="A25" s="33" t="n"/>
      <c r="B25" s="32" t="n"/>
      <c r="C25" s="41" t="n"/>
      <c r="D25" s="58" t="n"/>
      <c r="E25" s="59" t="n"/>
      <c r="F25" s="55">
        <f>IF(OR(D25="",E25=""),"",D25*E25)</f>
        <v/>
      </c>
      <c r="G25" s="48">
        <f>IF(OR(B25="",C25=""),"",IFERROR(IF(MAXIFS($C$4:C24,$B$4:B24,B25)=0,"",C25-MAXIFS($C$4:C24,$B$4:B24,B25)),""))</f>
        <v/>
      </c>
      <c r="H25" s="56">
        <f>IF(OR(G25="",G25=0,D25=""),"",D25/G25*100)</f>
        <v/>
      </c>
      <c r="I25" s="57">
        <f>IF(OR(G25="",G25=0,F25=""),"",F25/G25)</f>
        <v/>
      </c>
      <c r="J25" s="40" t="n"/>
      <c r="K25" s="40" t="n"/>
      <c r="L25" s="40" t="n"/>
    </row>
    <row r="26">
      <c r="A26" s="35" t="n"/>
      <c r="B26" s="34" t="n"/>
      <c r="C26" s="39" t="n"/>
      <c r="D26" s="53" t="n"/>
      <c r="E26" s="54" t="n"/>
      <c r="F26" s="55">
        <f>IF(OR(D26="",E26=""),"",D26*E26)</f>
        <v/>
      </c>
      <c r="G26" s="48">
        <f>IF(OR(B26="",C26=""),"",IFERROR(IF(MAXIFS($C$4:C25,$B$4:B25,B26)=0,"",C26-MAXIFS($C$4:C25,$B$4:B25,B26)),""))</f>
        <v/>
      </c>
      <c r="H26" s="56">
        <f>IF(OR(G26="",G26=0,D26=""),"",D26/G26*100)</f>
        <v/>
      </c>
      <c r="I26" s="57">
        <f>IF(OR(G26="",G26=0,F26=""),"",F26/G26)</f>
        <v/>
      </c>
      <c r="J26" s="38" t="n"/>
      <c r="K26" s="38" t="n"/>
      <c r="L26" s="38" t="n"/>
    </row>
    <row r="27">
      <c r="A27" s="33" t="n"/>
      <c r="B27" s="32" t="n"/>
      <c r="C27" s="41" t="n"/>
      <c r="D27" s="58" t="n"/>
      <c r="E27" s="59" t="n"/>
      <c r="F27" s="55">
        <f>IF(OR(D27="",E27=""),"",D27*E27)</f>
        <v/>
      </c>
      <c r="G27" s="48">
        <f>IF(OR(B27="",C27=""),"",IFERROR(IF(MAXIFS($C$4:C26,$B$4:B26,B27)=0,"",C27-MAXIFS($C$4:C26,$B$4:B26,B27)),""))</f>
        <v/>
      </c>
      <c r="H27" s="56">
        <f>IF(OR(G27="",G27=0,D27=""),"",D27/G27*100)</f>
        <v/>
      </c>
      <c r="I27" s="57">
        <f>IF(OR(G27="",G27=0,F27=""),"",F27/G27)</f>
        <v/>
      </c>
      <c r="J27" s="40" t="n"/>
      <c r="K27" s="40" t="n"/>
      <c r="L27" s="40" t="n"/>
    </row>
    <row r="28">
      <c r="A28" s="35" t="n"/>
      <c r="B28" s="34" t="n"/>
      <c r="C28" s="39" t="n"/>
      <c r="D28" s="53" t="n"/>
      <c r="E28" s="54" t="n"/>
      <c r="F28" s="55">
        <f>IF(OR(D28="",E28=""),"",D28*E28)</f>
        <v/>
      </c>
      <c r="G28" s="48">
        <f>IF(OR(B28="",C28=""),"",IFERROR(IF(MAXIFS($C$4:C27,$B$4:B27,B28)=0,"",C28-MAXIFS($C$4:C27,$B$4:B27,B28)),""))</f>
        <v/>
      </c>
      <c r="H28" s="56">
        <f>IF(OR(G28="",G28=0,D28=""),"",D28/G28*100)</f>
        <v/>
      </c>
      <c r="I28" s="57">
        <f>IF(OR(G28="",G28=0,F28=""),"",F28/G28)</f>
        <v/>
      </c>
      <c r="J28" s="38" t="n"/>
      <c r="K28" s="38" t="n"/>
      <c r="L28" s="38" t="n"/>
    </row>
    <row r="29">
      <c r="A29" s="33" t="n"/>
      <c r="B29" s="32" t="n"/>
      <c r="C29" s="41" t="n"/>
      <c r="D29" s="58" t="n"/>
      <c r="E29" s="59" t="n"/>
      <c r="F29" s="55">
        <f>IF(OR(D29="",E29=""),"",D29*E29)</f>
        <v/>
      </c>
      <c r="G29" s="48">
        <f>IF(OR(B29="",C29=""),"",IFERROR(IF(MAXIFS($C$4:C28,$B$4:B28,B29)=0,"",C29-MAXIFS($C$4:C28,$B$4:B28,B29)),""))</f>
        <v/>
      </c>
      <c r="H29" s="56">
        <f>IF(OR(G29="",G29=0,D29=""),"",D29/G29*100)</f>
        <v/>
      </c>
      <c r="I29" s="57">
        <f>IF(OR(G29="",G29=0,F29=""),"",F29/G29)</f>
        <v/>
      </c>
      <c r="J29" s="40" t="n"/>
      <c r="K29" s="40" t="n"/>
      <c r="L29" s="40" t="n"/>
    </row>
    <row r="30">
      <c r="A30" s="35" t="n"/>
      <c r="B30" s="34" t="n"/>
      <c r="C30" s="39" t="n"/>
      <c r="D30" s="53" t="n"/>
      <c r="E30" s="54" t="n"/>
      <c r="F30" s="55">
        <f>IF(OR(D30="",E30=""),"",D30*E30)</f>
        <v/>
      </c>
      <c r="G30" s="48">
        <f>IF(OR(B30="",C30=""),"",IFERROR(IF(MAXIFS($C$4:C29,$B$4:B29,B30)=0,"",C30-MAXIFS($C$4:C29,$B$4:B29,B30)),""))</f>
        <v/>
      </c>
      <c r="H30" s="56">
        <f>IF(OR(G30="",G30=0,D30=""),"",D30/G30*100)</f>
        <v/>
      </c>
      <c r="I30" s="57">
        <f>IF(OR(G30="",G30=0,F30=""),"",F30/G30)</f>
        <v/>
      </c>
      <c r="J30" s="38" t="n"/>
      <c r="K30" s="38" t="n"/>
      <c r="L30" s="38" t="n"/>
    </row>
    <row r="31">
      <c r="A31" s="33" t="n"/>
      <c r="B31" s="32" t="n"/>
      <c r="C31" s="41" t="n"/>
      <c r="D31" s="58" t="n"/>
      <c r="E31" s="59" t="n"/>
      <c r="F31" s="55">
        <f>IF(OR(D31="",E31=""),"",D31*E31)</f>
        <v/>
      </c>
      <c r="G31" s="48">
        <f>IF(OR(B31="",C31=""),"",IFERROR(IF(MAXIFS($C$4:C30,$B$4:B30,B31)=0,"",C31-MAXIFS($C$4:C30,$B$4:B30,B31)),""))</f>
        <v/>
      </c>
      <c r="H31" s="56">
        <f>IF(OR(G31="",G31=0,D31=""),"",D31/G31*100)</f>
        <v/>
      </c>
      <c r="I31" s="57">
        <f>IF(OR(G31="",G31=0,F31=""),"",F31/G31)</f>
        <v/>
      </c>
      <c r="J31" s="40" t="n"/>
      <c r="K31" s="40" t="n"/>
      <c r="L31" s="40" t="n"/>
    </row>
    <row r="32">
      <c r="A32" s="35" t="n"/>
      <c r="B32" s="34" t="n"/>
      <c r="C32" s="39" t="n"/>
      <c r="D32" s="53" t="n"/>
      <c r="E32" s="54" t="n"/>
      <c r="F32" s="55">
        <f>IF(OR(D32="",E32=""),"",D32*E32)</f>
        <v/>
      </c>
      <c r="G32" s="48">
        <f>IF(OR(B32="",C32=""),"",IFERROR(IF(MAXIFS($C$4:C31,$B$4:B31,B32)=0,"",C32-MAXIFS($C$4:C31,$B$4:B31,B32)),""))</f>
        <v/>
      </c>
      <c r="H32" s="56">
        <f>IF(OR(G32="",G32=0,D32=""),"",D32/G32*100)</f>
        <v/>
      </c>
      <c r="I32" s="57">
        <f>IF(OR(G32="",G32=0,F32=""),"",F32/G32)</f>
        <v/>
      </c>
      <c r="J32" s="38" t="n"/>
      <c r="K32" s="38" t="n"/>
      <c r="L32" s="38" t="n"/>
    </row>
    <row r="33">
      <c r="A33" s="33" t="n"/>
      <c r="B33" s="32" t="n"/>
      <c r="C33" s="41" t="n"/>
      <c r="D33" s="58" t="n"/>
      <c r="E33" s="59" t="n"/>
      <c r="F33" s="55">
        <f>IF(OR(D33="",E33=""),"",D33*E33)</f>
        <v/>
      </c>
      <c r="G33" s="48">
        <f>IF(OR(B33="",C33=""),"",IFERROR(IF(MAXIFS($C$4:C32,$B$4:B32,B33)=0,"",C33-MAXIFS($C$4:C32,$B$4:B32,B33)),""))</f>
        <v/>
      </c>
      <c r="H33" s="56">
        <f>IF(OR(G33="",G33=0,D33=""),"",D33/G33*100)</f>
        <v/>
      </c>
      <c r="I33" s="57">
        <f>IF(OR(G33="",G33=0,F33=""),"",F33/G33)</f>
        <v/>
      </c>
      <c r="J33" s="40" t="n"/>
      <c r="K33" s="40" t="n"/>
      <c r="L33" s="40" t="n"/>
    </row>
    <row r="34">
      <c r="A34" s="35" t="n"/>
      <c r="B34" s="34" t="n"/>
      <c r="C34" s="39" t="n"/>
      <c r="D34" s="53" t="n"/>
      <c r="E34" s="54" t="n"/>
      <c r="F34" s="55">
        <f>IF(OR(D34="",E34=""),"",D34*E34)</f>
        <v/>
      </c>
      <c r="G34" s="48">
        <f>IF(OR(B34="",C34=""),"",IFERROR(IF(MAXIFS($C$4:C33,$B$4:B33,B34)=0,"",C34-MAXIFS($C$4:C33,$B$4:B33,B34)),""))</f>
        <v/>
      </c>
      <c r="H34" s="56">
        <f>IF(OR(G34="",G34=0,D34=""),"",D34/G34*100)</f>
        <v/>
      </c>
      <c r="I34" s="57">
        <f>IF(OR(G34="",G34=0,F34=""),"",F34/G34)</f>
        <v/>
      </c>
      <c r="J34" s="38" t="n"/>
      <c r="K34" s="38" t="n"/>
      <c r="L34" s="38" t="n"/>
    </row>
    <row r="35">
      <c r="A35" s="33" t="n"/>
      <c r="B35" s="32" t="n"/>
      <c r="C35" s="41" t="n"/>
      <c r="D35" s="58" t="n"/>
      <c r="E35" s="59" t="n"/>
      <c r="F35" s="55">
        <f>IF(OR(D35="",E35=""),"",D35*E35)</f>
        <v/>
      </c>
      <c r="G35" s="48">
        <f>IF(OR(B35="",C35=""),"",IFERROR(IF(MAXIFS($C$4:C34,$B$4:B34,B35)=0,"",C35-MAXIFS($C$4:C34,$B$4:B34,B35)),""))</f>
        <v/>
      </c>
      <c r="H35" s="56">
        <f>IF(OR(G35="",G35=0,D35=""),"",D35/G35*100)</f>
        <v/>
      </c>
      <c r="I35" s="57">
        <f>IF(OR(G35="",G35=0,F35=""),"",F35/G35)</f>
        <v/>
      </c>
      <c r="J35" s="40" t="n"/>
      <c r="K35" s="40" t="n"/>
      <c r="L35" s="40" t="n"/>
    </row>
    <row r="36">
      <c r="A36" s="35" t="n"/>
      <c r="B36" s="34" t="n"/>
      <c r="C36" s="39" t="n"/>
      <c r="D36" s="53" t="n"/>
      <c r="E36" s="54" t="n"/>
      <c r="F36" s="55">
        <f>IF(OR(D36="",E36=""),"",D36*E36)</f>
        <v/>
      </c>
      <c r="G36" s="48">
        <f>IF(OR(B36="",C36=""),"",IFERROR(IF(MAXIFS($C$4:C35,$B$4:B35,B36)=0,"",C36-MAXIFS($C$4:C35,$B$4:B35,B36)),""))</f>
        <v/>
      </c>
      <c r="H36" s="56">
        <f>IF(OR(G36="",G36=0,D36=""),"",D36/G36*100)</f>
        <v/>
      </c>
      <c r="I36" s="57">
        <f>IF(OR(G36="",G36=0,F36=""),"",F36/G36)</f>
        <v/>
      </c>
      <c r="J36" s="38" t="n"/>
      <c r="K36" s="38" t="n"/>
      <c r="L36" s="38" t="n"/>
    </row>
    <row r="37">
      <c r="A37" s="33" t="n"/>
      <c r="B37" s="32" t="n"/>
      <c r="C37" s="41" t="n"/>
      <c r="D37" s="58" t="n"/>
      <c r="E37" s="59" t="n"/>
      <c r="F37" s="55">
        <f>IF(OR(D37="",E37=""),"",D37*E37)</f>
        <v/>
      </c>
      <c r="G37" s="48">
        <f>IF(OR(B37="",C37=""),"",IFERROR(IF(MAXIFS($C$4:C36,$B$4:B36,B37)=0,"",C37-MAXIFS($C$4:C36,$B$4:B36,B37)),""))</f>
        <v/>
      </c>
      <c r="H37" s="56">
        <f>IF(OR(G37="",G37=0,D37=""),"",D37/G37*100)</f>
        <v/>
      </c>
      <c r="I37" s="57">
        <f>IF(OR(G37="",G37=0,F37=""),"",F37/G37)</f>
        <v/>
      </c>
      <c r="J37" s="40" t="n"/>
      <c r="K37" s="40" t="n"/>
      <c r="L37" s="40" t="n"/>
    </row>
    <row r="38">
      <c r="A38" s="35" t="n"/>
      <c r="B38" s="34" t="n"/>
      <c r="C38" s="39" t="n"/>
      <c r="D38" s="53" t="n"/>
      <c r="E38" s="54" t="n"/>
      <c r="F38" s="55">
        <f>IF(OR(D38="",E38=""),"",D38*E38)</f>
        <v/>
      </c>
      <c r="G38" s="48">
        <f>IF(OR(B38="",C38=""),"",IFERROR(IF(MAXIFS($C$4:C37,$B$4:B37,B38)=0,"",C38-MAXIFS($C$4:C37,$B$4:B37,B38)),""))</f>
        <v/>
      </c>
      <c r="H38" s="56">
        <f>IF(OR(G38="",G38=0,D38=""),"",D38/G38*100)</f>
        <v/>
      </c>
      <c r="I38" s="57">
        <f>IF(OR(G38="",G38=0,F38=""),"",F38/G38)</f>
        <v/>
      </c>
      <c r="J38" s="38" t="n"/>
      <c r="K38" s="38" t="n"/>
      <c r="L38" s="38" t="n"/>
    </row>
    <row r="39">
      <c r="A39" s="33" t="n"/>
      <c r="B39" s="32" t="n"/>
      <c r="C39" s="41" t="n"/>
      <c r="D39" s="58" t="n"/>
      <c r="E39" s="59" t="n"/>
      <c r="F39" s="55">
        <f>IF(OR(D39="",E39=""),"",D39*E39)</f>
        <v/>
      </c>
      <c r="G39" s="48">
        <f>IF(OR(B39="",C39=""),"",IFERROR(IF(MAXIFS($C$4:C38,$B$4:B38,B39)=0,"",C39-MAXIFS($C$4:C38,$B$4:B38,B39)),""))</f>
        <v/>
      </c>
      <c r="H39" s="56">
        <f>IF(OR(G39="",G39=0,D39=""),"",D39/G39*100)</f>
        <v/>
      </c>
      <c r="I39" s="57">
        <f>IF(OR(G39="",G39=0,F39=""),"",F39/G39)</f>
        <v/>
      </c>
      <c r="J39" s="40" t="n"/>
      <c r="K39" s="40" t="n"/>
      <c r="L39" s="40" t="n"/>
    </row>
    <row r="40">
      <c r="A40" s="35" t="n"/>
      <c r="B40" s="34" t="n"/>
      <c r="C40" s="39" t="n"/>
      <c r="D40" s="53" t="n"/>
      <c r="E40" s="54" t="n"/>
      <c r="F40" s="55">
        <f>IF(OR(D40="",E40=""),"",D40*E40)</f>
        <v/>
      </c>
      <c r="G40" s="48">
        <f>IF(OR(B40="",C40=""),"",IFERROR(IF(MAXIFS($C$4:C39,$B$4:B39,B40)=0,"",C40-MAXIFS($C$4:C39,$B$4:B39,B40)),""))</f>
        <v/>
      </c>
      <c r="H40" s="56">
        <f>IF(OR(G40="",G40=0,D40=""),"",D40/G40*100)</f>
        <v/>
      </c>
      <c r="I40" s="57">
        <f>IF(OR(G40="",G40=0,F40=""),"",F40/G40)</f>
        <v/>
      </c>
      <c r="J40" s="38" t="n"/>
      <c r="K40" s="38" t="n"/>
      <c r="L40" s="38" t="n"/>
    </row>
    <row r="41">
      <c r="A41" s="33" t="n"/>
      <c r="B41" s="32" t="n"/>
      <c r="C41" s="41" t="n"/>
      <c r="D41" s="58" t="n"/>
      <c r="E41" s="59" t="n"/>
      <c r="F41" s="55">
        <f>IF(OR(D41="",E41=""),"",D41*E41)</f>
        <v/>
      </c>
      <c r="G41" s="48">
        <f>IF(OR(B41="",C41=""),"",IFERROR(IF(MAXIFS($C$4:C40,$B$4:B40,B41)=0,"",C41-MAXIFS($C$4:C40,$B$4:B40,B41)),""))</f>
        <v/>
      </c>
      <c r="H41" s="56">
        <f>IF(OR(G41="",G41=0,D41=""),"",D41/G41*100)</f>
        <v/>
      </c>
      <c r="I41" s="57">
        <f>IF(OR(G41="",G41=0,F41=""),"",F41/G41)</f>
        <v/>
      </c>
      <c r="J41" s="40" t="n"/>
      <c r="K41" s="40" t="n"/>
      <c r="L41" s="40" t="n"/>
    </row>
    <row r="42">
      <c r="A42" s="35" t="n"/>
      <c r="B42" s="34" t="n"/>
      <c r="C42" s="39" t="n"/>
      <c r="D42" s="53" t="n"/>
      <c r="E42" s="54" t="n"/>
      <c r="F42" s="55">
        <f>IF(OR(D42="",E42=""),"",D42*E42)</f>
        <v/>
      </c>
      <c r="G42" s="48">
        <f>IF(OR(B42="",C42=""),"",IFERROR(IF(MAXIFS($C$4:C41,$B$4:B41,B42)=0,"",C42-MAXIFS($C$4:C41,$B$4:B41,B42)),""))</f>
        <v/>
      </c>
      <c r="H42" s="56">
        <f>IF(OR(G42="",G42=0,D42=""),"",D42/G42*100)</f>
        <v/>
      </c>
      <c r="I42" s="57">
        <f>IF(OR(G42="",G42=0,F42=""),"",F42/G42)</f>
        <v/>
      </c>
      <c r="J42" s="38" t="n"/>
      <c r="K42" s="38" t="n"/>
      <c r="L42" s="38" t="n"/>
    </row>
    <row r="43">
      <c r="A43" s="33" t="n"/>
      <c r="B43" s="32" t="n"/>
      <c r="C43" s="41" t="n"/>
      <c r="D43" s="58" t="n"/>
      <c r="E43" s="59" t="n"/>
      <c r="F43" s="55">
        <f>IF(OR(D43="",E43=""),"",D43*E43)</f>
        <v/>
      </c>
      <c r="G43" s="48">
        <f>IF(OR(B43="",C43=""),"",IFERROR(IF(MAXIFS($C$4:C42,$B$4:B42,B43)=0,"",C43-MAXIFS($C$4:C42,$B$4:B42,B43)),""))</f>
        <v/>
      </c>
      <c r="H43" s="56">
        <f>IF(OR(G43="",G43=0,D43=""),"",D43/G43*100)</f>
        <v/>
      </c>
      <c r="I43" s="57">
        <f>IF(OR(G43="",G43=0,F43=""),"",F43/G43)</f>
        <v/>
      </c>
      <c r="J43" s="40" t="n"/>
      <c r="K43" s="40" t="n"/>
      <c r="L43" s="40" t="n"/>
    </row>
    <row r="44">
      <c r="A44" s="35" t="n"/>
      <c r="B44" s="34" t="n"/>
      <c r="C44" s="39" t="n"/>
      <c r="D44" s="53" t="n"/>
      <c r="E44" s="54" t="n"/>
      <c r="F44" s="55">
        <f>IF(OR(D44="",E44=""),"",D44*E44)</f>
        <v/>
      </c>
      <c r="G44" s="48">
        <f>IF(OR(B44="",C44=""),"",IFERROR(IF(MAXIFS($C$4:C43,$B$4:B43,B44)=0,"",C44-MAXIFS($C$4:C43,$B$4:B43,B44)),""))</f>
        <v/>
      </c>
      <c r="H44" s="56">
        <f>IF(OR(G44="",G44=0,D44=""),"",D44/G44*100)</f>
        <v/>
      </c>
      <c r="I44" s="57">
        <f>IF(OR(G44="",G44=0,F44=""),"",F44/G44)</f>
        <v/>
      </c>
      <c r="J44" s="38" t="n"/>
      <c r="K44" s="38" t="n"/>
      <c r="L44" s="38" t="n"/>
    </row>
    <row r="45">
      <c r="A45" s="33" t="n"/>
      <c r="B45" s="32" t="n"/>
      <c r="C45" s="41" t="n"/>
      <c r="D45" s="58" t="n"/>
      <c r="E45" s="59" t="n"/>
      <c r="F45" s="55">
        <f>IF(OR(D45="",E45=""),"",D45*E45)</f>
        <v/>
      </c>
      <c r="G45" s="48">
        <f>IF(OR(B45="",C45=""),"",IFERROR(IF(MAXIFS($C$4:C44,$B$4:B44,B45)=0,"",C45-MAXIFS($C$4:C44,$B$4:B44,B45)),""))</f>
        <v/>
      </c>
      <c r="H45" s="56">
        <f>IF(OR(G45="",G45=0,D45=""),"",D45/G45*100)</f>
        <v/>
      </c>
      <c r="I45" s="57">
        <f>IF(OR(G45="",G45=0,F45=""),"",F45/G45)</f>
        <v/>
      </c>
      <c r="J45" s="40" t="n"/>
      <c r="K45" s="40" t="n"/>
      <c r="L45" s="40" t="n"/>
    </row>
    <row r="46">
      <c r="A46" s="35" t="n"/>
      <c r="B46" s="34" t="n"/>
      <c r="C46" s="39" t="n"/>
      <c r="D46" s="53" t="n"/>
      <c r="E46" s="54" t="n"/>
      <c r="F46" s="55">
        <f>IF(OR(D46="",E46=""),"",D46*E46)</f>
        <v/>
      </c>
      <c r="G46" s="48">
        <f>IF(OR(B46="",C46=""),"",IFERROR(IF(MAXIFS($C$4:C45,$B$4:B45,B46)=0,"",C46-MAXIFS($C$4:C45,$B$4:B45,B46)),""))</f>
        <v/>
      </c>
      <c r="H46" s="56">
        <f>IF(OR(G46="",G46=0,D46=""),"",D46/G46*100)</f>
        <v/>
      </c>
      <c r="I46" s="57">
        <f>IF(OR(G46="",G46=0,F46=""),"",F46/G46)</f>
        <v/>
      </c>
      <c r="J46" s="38" t="n"/>
      <c r="K46" s="38" t="n"/>
      <c r="L46" s="38" t="n"/>
    </row>
    <row r="47">
      <c r="A47" s="33" t="n"/>
      <c r="B47" s="32" t="n"/>
      <c r="C47" s="41" t="n"/>
      <c r="D47" s="58" t="n"/>
      <c r="E47" s="59" t="n"/>
      <c r="F47" s="55">
        <f>IF(OR(D47="",E47=""),"",D47*E47)</f>
        <v/>
      </c>
      <c r="G47" s="48">
        <f>IF(OR(B47="",C47=""),"",IFERROR(IF(MAXIFS($C$4:C46,$B$4:B46,B47)=0,"",C47-MAXIFS($C$4:C46,$B$4:B46,B47)),""))</f>
        <v/>
      </c>
      <c r="H47" s="56">
        <f>IF(OR(G47="",G47=0,D47=""),"",D47/G47*100)</f>
        <v/>
      </c>
      <c r="I47" s="57">
        <f>IF(OR(G47="",G47=0,F47=""),"",F47/G47)</f>
        <v/>
      </c>
      <c r="J47" s="40" t="n"/>
      <c r="K47" s="40" t="n"/>
      <c r="L47" s="40" t="n"/>
    </row>
    <row r="48">
      <c r="A48" s="35" t="n"/>
      <c r="B48" s="34" t="n"/>
      <c r="C48" s="39" t="n"/>
      <c r="D48" s="53" t="n"/>
      <c r="E48" s="54" t="n"/>
      <c r="F48" s="55">
        <f>IF(OR(D48="",E48=""),"",D48*E48)</f>
        <v/>
      </c>
      <c r="G48" s="48">
        <f>IF(OR(B48="",C48=""),"",IFERROR(IF(MAXIFS($C$4:C47,$B$4:B47,B48)=0,"",C48-MAXIFS($C$4:C47,$B$4:B47,B48)),""))</f>
        <v/>
      </c>
      <c r="H48" s="56">
        <f>IF(OR(G48="",G48=0,D48=""),"",D48/G48*100)</f>
        <v/>
      </c>
      <c r="I48" s="57">
        <f>IF(OR(G48="",G48=0,F48=""),"",F48/G48)</f>
        <v/>
      </c>
      <c r="J48" s="38" t="n"/>
      <c r="K48" s="38" t="n"/>
      <c r="L48" s="38" t="n"/>
    </row>
    <row r="49">
      <c r="A49" s="33" t="n"/>
      <c r="B49" s="32" t="n"/>
      <c r="C49" s="41" t="n"/>
      <c r="D49" s="58" t="n"/>
      <c r="E49" s="59" t="n"/>
      <c r="F49" s="55">
        <f>IF(OR(D49="",E49=""),"",D49*E49)</f>
        <v/>
      </c>
      <c r="G49" s="48">
        <f>IF(OR(B49="",C49=""),"",IFERROR(IF(MAXIFS($C$4:C48,$B$4:B48,B49)=0,"",C49-MAXIFS($C$4:C48,$B$4:B48,B49)),""))</f>
        <v/>
      </c>
      <c r="H49" s="56">
        <f>IF(OR(G49="",G49=0,D49=""),"",D49/G49*100)</f>
        <v/>
      </c>
      <c r="I49" s="57">
        <f>IF(OR(G49="",G49=0,F49=""),"",F49/G49)</f>
        <v/>
      </c>
      <c r="J49" s="40" t="n"/>
      <c r="K49" s="40" t="n"/>
      <c r="L49" s="40" t="n"/>
    </row>
    <row r="50">
      <c r="A50" s="35" t="n"/>
      <c r="B50" s="34" t="n"/>
      <c r="C50" s="39" t="n"/>
      <c r="D50" s="53" t="n"/>
      <c r="E50" s="54" t="n"/>
      <c r="F50" s="55">
        <f>IF(OR(D50="",E50=""),"",D50*E50)</f>
        <v/>
      </c>
      <c r="G50" s="48">
        <f>IF(OR(B50="",C50=""),"",IFERROR(IF(MAXIFS($C$4:C49,$B$4:B49,B50)=0,"",C50-MAXIFS($C$4:C49,$B$4:B49,B50)),""))</f>
        <v/>
      </c>
      <c r="H50" s="56">
        <f>IF(OR(G50="",G50=0,D50=""),"",D50/G50*100)</f>
        <v/>
      </c>
      <c r="I50" s="57">
        <f>IF(OR(G50="",G50=0,F50=""),"",F50/G50)</f>
        <v/>
      </c>
      <c r="J50" s="38" t="n"/>
      <c r="K50" s="38" t="n"/>
      <c r="L50" s="38" t="n"/>
    </row>
    <row r="51">
      <c r="A51" s="33" t="n"/>
      <c r="B51" s="32" t="n"/>
      <c r="C51" s="41" t="n"/>
      <c r="D51" s="58" t="n"/>
      <c r="E51" s="59" t="n"/>
      <c r="F51" s="55">
        <f>IF(OR(D51="",E51=""),"",D51*E51)</f>
        <v/>
      </c>
      <c r="G51" s="48">
        <f>IF(OR(B51="",C51=""),"",IFERROR(IF(MAXIFS($C$4:C50,$B$4:B50,B51)=0,"",C51-MAXIFS($C$4:C50,$B$4:B50,B51)),""))</f>
        <v/>
      </c>
      <c r="H51" s="56">
        <f>IF(OR(G51="",G51=0,D51=""),"",D51/G51*100)</f>
        <v/>
      </c>
      <c r="I51" s="57">
        <f>IF(OR(G51="",G51=0,F51=""),"",F51/G51)</f>
        <v/>
      </c>
      <c r="J51" s="40" t="n"/>
      <c r="K51" s="40" t="n"/>
      <c r="L51" s="40" t="n"/>
    </row>
    <row r="52">
      <c r="A52" s="35" t="n"/>
      <c r="B52" s="34" t="n"/>
      <c r="C52" s="39" t="n"/>
      <c r="D52" s="53" t="n"/>
      <c r="E52" s="54" t="n"/>
      <c r="F52" s="55">
        <f>IF(OR(D52="",E52=""),"",D52*E52)</f>
        <v/>
      </c>
      <c r="G52" s="48">
        <f>IF(OR(B52="",C52=""),"",IFERROR(IF(MAXIFS($C$4:C51,$B$4:B51,B52)=0,"",C52-MAXIFS($C$4:C51,$B$4:B51,B52)),""))</f>
        <v/>
      </c>
      <c r="H52" s="56">
        <f>IF(OR(G52="",G52=0,D52=""),"",D52/G52*100)</f>
        <v/>
      </c>
      <c r="I52" s="57">
        <f>IF(OR(G52="",G52=0,F52=""),"",F52/G52)</f>
        <v/>
      </c>
      <c r="J52" s="38" t="n"/>
      <c r="K52" s="38" t="n"/>
      <c r="L52" s="38" t="n"/>
    </row>
    <row r="53">
      <c r="A53" s="33" t="n"/>
      <c r="B53" s="32" t="n"/>
      <c r="C53" s="41" t="n"/>
      <c r="D53" s="58" t="n"/>
      <c r="E53" s="59" t="n"/>
      <c r="F53" s="55">
        <f>IF(OR(D53="",E53=""),"",D53*E53)</f>
        <v/>
      </c>
      <c r="G53" s="48">
        <f>IF(OR(B53="",C53=""),"",IFERROR(IF(MAXIFS($C$4:C52,$B$4:B52,B53)=0,"",C53-MAXIFS($C$4:C52,$B$4:B52,B53)),""))</f>
        <v/>
      </c>
      <c r="H53" s="56">
        <f>IF(OR(G53="",G53=0,D53=""),"",D53/G53*100)</f>
        <v/>
      </c>
      <c r="I53" s="57">
        <f>IF(OR(G53="",G53=0,F53=""),"",F53/G53)</f>
        <v/>
      </c>
      <c r="J53" s="40" t="n"/>
      <c r="K53" s="40" t="n"/>
      <c r="L53" s="40" t="n"/>
    </row>
    <row r="54">
      <c r="A54" s="35" t="n"/>
      <c r="B54" s="34" t="n"/>
      <c r="C54" s="39" t="n"/>
      <c r="D54" s="53" t="n"/>
      <c r="E54" s="54" t="n"/>
      <c r="F54" s="55">
        <f>IF(OR(D54="",E54=""),"",D54*E54)</f>
        <v/>
      </c>
      <c r="G54" s="48">
        <f>IF(OR(B54="",C54=""),"",IFERROR(IF(MAXIFS($C$4:C53,$B$4:B53,B54)=0,"",C54-MAXIFS($C$4:C53,$B$4:B53,B54)),""))</f>
        <v/>
      </c>
      <c r="H54" s="56">
        <f>IF(OR(G54="",G54=0,D54=""),"",D54/G54*100)</f>
        <v/>
      </c>
      <c r="I54" s="57">
        <f>IF(OR(G54="",G54=0,F54=""),"",F54/G54)</f>
        <v/>
      </c>
      <c r="J54" s="38" t="n"/>
      <c r="K54" s="38" t="n"/>
      <c r="L54" s="38" t="n"/>
    </row>
    <row r="55">
      <c r="A55" s="33" t="n"/>
      <c r="B55" s="32" t="n"/>
      <c r="C55" s="41" t="n"/>
      <c r="D55" s="58" t="n"/>
      <c r="E55" s="59" t="n"/>
      <c r="F55" s="55">
        <f>IF(OR(D55="",E55=""),"",D55*E55)</f>
        <v/>
      </c>
      <c r="G55" s="48">
        <f>IF(OR(B55="",C55=""),"",IFERROR(IF(MAXIFS($C$4:C54,$B$4:B54,B55)=0,"",C55-MAXIFS($C$4:C54,$B$4:B54,B55)),""))</f>
        <v/>
      </c>
      <c r="H55" s="56">
        <f>IF(OR(G55="",G55=0,D55=""),"",D55/G55*100)</f>
        <v/>
      </c>
      <c r="I55" s="57">
        <f>IF(OR(G55="",G55=0,F55=""),"",F55/G55)</f>
        <v/>
      </c>
      <c r="J55" s="40" t="n"/>
      <c r="K55" s="40" t="n"/>
      <c r="L55" s="40" t="n"/>
    </row>
    <row r="56">
      <c r="A56" s="35" t="n"/>
      <c r="B56" s="34" t="n"/>
      <c r="C56" s="39" t="n"/>
      <c r="D56" s="53" t="n"/>
      <c r="E56" s="54" t="n"/>
      <c r="F56" s="55">
        <f>IF(OR(D56="",E56=""),"",D56*E56)</f>
        <v/>
      </c>
      <c r="G56" s="48">
        <f>IF(OR(B56="",C56=""),"",IFERROR(IF(MAXIFS($C$4:C55,$B$4:B55,B56)=0,"",C56-MAXIFS($C$4:C55,$B$4:B55,B56)),""))</f>
        <v/>
      </c>
      <c r="H56" s="56">
        <f>IF(OR(G56="",G56=0,D56=""),"",D56/G56*100)</f>
        <v/>
      </c>
      <c r="I56" s="57">
        <f>IF(OR(G56="",G56=0,F56=""),"",F56/G56)</f>
        <v/>
      </c>
      <c r="J56" s="38" t="n"/>
      <c r="K56" s="38" t="n"/>
      <c r="L56" s="38" t="n"/>
    </row>
    <row r="57">
      <c r="A57" s="33" t="n"/>
      <c r="B57" s="32" t="n"/>
      <c r="C57" s="41" t="n"/>
      <c r="D57" s="58" t="n"/>
      <c r="E57" s="59" t="n"/>
      <c r="F57" s="55">
        <f>IF(OR(D57="",E57=""),"",D57*E57)</f>
        <v/>
      </c>
      <c r="G57" s="48">
        <f>IF(OR(B57="",C57=""),"",IFERROR(IF(MAXIFS($C$4:C56,$B$4:B56,B57)=0,"",C57-MAXIFS($C$4:C56,$B$4:B56,B57)),""))</f>
        <v/>
      </c>
      <c r="H57" s="56">
        <f>IF(OR(G57="",G57=0,D57=""),"",D57/G57*100)</f>
        <v/>
      </c>
      <c r="I57" s="57">
        <f>IF(OR(G57="",G57=0,F57=""),"",F57/G57)</f>
        <v/>
      </c>
      <c r="J57" s="40" t="n"/>
      <c r="K57" s="40" t="n"/>
      <c r="L57" s="40" t="n"/>
    </row>
    <row r="58">
      <c r="A58" s="35" t="n"/>
      <c r="B58" s="34" t="n"/>
      <c r="C58" s="39" t="n"/>
      <c r="D58" s="53" t="n"/>
      <c r="E58" s="54" t="n"/>
      <c r="F58" s="55">
        <f>IF(OR(D58="",E58=""),"",D58*E58)</f>
        <v/>
      </c>
      <c r="G58" s="48">
        <f>IF(OR(B58="",C58=""),"",IFERROR(IF(MAXIFS($C$4:C57,$B$4:B57,B58)=0,"",C58-MAXIFS($C$4:C57,$B$4:B57,B58)),""))</f>
        <v/>
      </c>
      <c r="H58" s="56">
        <f>IF(OR(G58="",G58=0,D58=""),"",D58/G58*100)</f>
        <v/>
      </c>
      <c r="I58" s="57">
        <f>IF(OR(G58="",G58=0,F58=""),"",F58/G58)</f>
        <v/>
      </c>
      <c r="J58" s="38" t="n"/>
      <c r="K58" s="38" t="n"/>
      <c r="L58" s="38" t="n"/>
    </row>
    <row r="59">
      <c r="A59" s="33" t="n"/>
      <c r="B59" s="32" t="n"/>
      <c r="C59" s="41" t="n"/>
      <c r="D59" s="58" t="n"/>
      <c r="E59" s="59" t="n"/>
      <c r="F59" s="55">
        <f>IF(OR(D59="",E59=""),"",D59*E59)</f>
        <v/>
      </c>
      <c r="G59" s="48">
        <f>IF(OR(B59="",C59=""),"",IFERROR(IF(MAXIFS($C$4:C58,$B$4:B58,B59)=0,"",C59-MAXIFS($C$4:C58,$B$4:B58,B59)),""))</f>
        <v/>
      </c>
      <c r="H59" s="56">
        <f>IF(OR(G59="",G59=0,D59=""),"",D59/G59*100)</f>
        <v/>
      </c>
      <c r="I59" s="57">
        <f>IF(OR(G59="",G59=0,F59=""),"",F59/G59)</f>
        <v/>
      </c>
      <c r="J59" s="40" t="n"/>
      <c r="K59" s="40" t="n"/>
      <c r="L59" s="40" t="n"/>
    </row>
    <row r="60">
      <c r="A60" s="35" t="n"/>
      <c r="B60" s="34" t="n"/>
      <c r="C60" s="39" t="n"/>
      <c r="D60" s="53" t="n"/>
      <c r="E60" s="54" t="n"/>
      <c r="F60" s="55">
        <f>IF(OR(D60="",E60=""),"",D60*E60)</f>
        <v/>
      </c>
      <c r="G60" s="48">
        <f>IF(OR(B60="",C60=""),"",IFERROR(IF(MAXIFS($C$4:C59,$B$4:B59,B60)=0,"",C60-MAXIFS($C$4:C59,$B$4:B59,B60)),""))</f>
        <v/>
      </c>
      <c r="H60" s="56">
        <f>IF(OR(G60="",G60=0,D60=""),"",D60/G60*100)</f>
        <v/>
      </c>
      <c r="I60" s="57">
        <f>IF(OR(G60="",G60=0,F60=""),"",F60/G60)</f>
        <v/>
      </c>
      <c r="J60" s="38" t="n"/>
      <c r="K60" s="38" t="n"/>
      <c r="L60" s="38" t="n"/>
    </row>
    <row r="61">
      <c r="A61" s="33" t="n"/>
      <c r="B61" s="32" t="n"/>
      <c r="C61" s="41" t="n"/>
      <c r="D61" s="58" t="n"/>
      <c r="E61" s="59" t="n"/>
      <c r="F61" s="55">
        <f>IF(OR(D61="",E61=""),"",D61*E61)</f>
        <v/>
      </c>
      <c r="G61" s="48">
        <f>IF(OR(B61="",C61=""),"",IFERROR(IF(MAXIFS($C$4:C60,$B$4:B60,B61)=0,"",C61-MAXIFS($C$4:C60,$B$4:B60,B61)),""))</f>
        <v/>
      </c>
      <c r="H61" s="56">
        <f>IF(OR(G61="",G61=0,D61=""),"",D61/G61*100)</f>
        <v/>
      </c>
      <c r="I61" s="57">
        <f>IF(OR(G61="",G61=0,F61=""),"",F61/G61)</f>
        <v/>
      </c>
      <c r="J61" s="40" t="n"/>
      <c r="K61" s="40" t="n"/>
      <c r="L61" s="40" t="n"/>
    </row>
    <row r="62">
      <c r="A62" s="35" t="n"/>
      <c r="B62" s="34" t="n"/>
      <c r="C62" s="39" t="n"/>
      <c r="D62" s="53" t="n"/>
      <c r="E62" s="54" t="n"/>
      <c r="F62" s="55">
        <f>IF(OR(D62="",E62=""),"",D62*E62)</f>
        <v/>
      </c>
      <c r="G62" s="48">
        <f>IF(OR(B62="",C62=""),"",IFERROR(IF(MAXIFS($C$4:C61,$B$4:B61,B62)=0,"",C62-MAXIFS($C$4:C61,$B$4:B61,B62)),""))</f>
        <v/>
      </c>
      <c r="H62" s="56">
        <f>IF(OR(G62="",G62=0,D62=""),"",D62/G62*100)</f>
        <v/>
      </c>
      <c r="I62" s="57">
        <f>IF(OR(G62="",G62=0,F62=""),"",F62/G62)</f>
        <v/>
      </c>
      <c r="J62" s="38" t="n"/>
      <c r="K62" s="38" t="n"/>
      <c r="L62" s="38" t="n"/>
    </row>
    <row r="63">
      <c r="A63" s="33" t="n"/>
      <c r="B63" s="32" t="n"/>
      <c r="C63" s="41" t="n"/>
      <c r="D63" s="58" t="n"/>
      <c r="E63" s="59" t="n"/>
      <c r="F63" s="55">
        <f>IF(OR(D63="",E63=""),"",D63*E63)</f>
        <v/>
      </c>
      <c r="G63" s="48">
        <f>IF(OR(B63="",C63=""),"",IFERROR(IF(MAXIFS($C$4:C62,$B$4:B62,B63)=0,"",C63-MAXIFS($C$4:C62,$B$4:B62,B63)),""))</f>
        <v/>
      </c>
      <c r="H63" s="56">
        <f>IF(OR(G63="",G63=0,D63=""),"",D63/G63*100)</f>
        <v/>
      </c>
      <c r="I63" s="57">
        <f>IF(OR(G63="",G63=0,F63=""),"",F63/G63)</f>
        <v/>
      </c>
      <c r="J63" s="40" t="n"/>
      <c r="K63" s="40" t="n"/>
      <c r="L63" s="40" t="n"/>
    </row>
    <row r="64">
      <c r="A64" s="35" t="n"/>
      <c r="B64" s="34" t="n"/>
      <c r="C64" s="39" t="n"/>
      <c r="D64" s="53" t="n"/>
      <c r="E64" s="54" t="n"/>
      <c r="F64" s="55">
        <f>IF(OR(D64="",E64=""),"",D64*E64)</f>
        <v/>
      </c>
      <c r="G64" s="48">
        <f>IF(OR(B64="",C64=""),"",IFERROR(IF(MAXIFS($C$4:C63,$B$4:B63,B64)=0,"",C64-MAXIFS($C$4:C63,$B$4:B63,B64)),""))</f>
        <v/>
      </c>
      <c r="H64" s="56">
        <f>IF(OR(G64="",G64=0,D64=""),"",D64/G64*100)</f>
        <v/>
      </c>
      <c r="I64" s="57">
        <f>IF(OR(G64="",G64=0,F64=""),"",F64/G64)</f>
        <v/>
      </c>
      <c r="J64" s="38" t="n"/>
      <c r="K64" s="38" t="n"/>
      <c r="L64" s="38" t="n"/>
    </row>
    <row r="65">
      <c r="A65" s="33" t="n"/>
      <c r="B65" s="32" t="n"/>
      <c r="C65" s="41" t="n"/>
      <c r="D65" s="58" t="n"/>
      <c r="E65" s="59" t="n"/>
      <c r="F65" s="55">
        <f>IF(OR(D65="",E65=""),"",D65*E65)</f>
        <v/>
      </c>
      <c r="G65" s="48">
        <f>IF(OR(B65="",C65=""),"",IFERROR(IF(MAXIFS($C$4:C64,$B$4:B64,B65)=0,"",C65-MAXIFS($C$4:C64,$B$4:B64,B65)),""))</f>
        <v/>
      </c>
      <c r="H65" s="56">
        <f>IF(OR(G65="",G65=0,D65=""),"",D65/G65*100)</f>
        <v/>
      </c>
      <c r="I65" s="57">
        <f>IF(OR(G65="",G65=0,F65=""),"",F65/G65)</f>
        <v/>
      </c>
      <c r="J65" s="40" t="n"/>
      <c r="K65" s="40" t="n"/>
      <c r="L65" s="40" t="n"/>
    </row>
    <row r="66">
      <c r="A66" s="35" t="n"/>
      <c r="B66" s="34" t="n"/>
      <c r="C66" s="39" t="n"/>
      <c r="D66" s="53" t="n"/>
      <c r="E66" s="54" t="n"/>
      <c r="F66" s="55">
        <f>IF(OR(D66="",E66=""),"",D66*E66)</f>
        <v/>
      </c>
      <c r="G66" s="48">
        <f>IF(OR(B66="",C66=""),"",IFERROR(IF(MAXIFS($C$4:C65,$B$4:B65,B66)=0,"",C66-MAXIFS($C$4:C65,$B$4:B65,B66)),""))</f>
        <v/>
      </c>
      <c r="H66" s="56">
        <f>IF(OR(G66="",G66=0,D66=""),"",D66/G66*100)</f>
        <v/>
      </c>
      <c r="I66" s="57">
        <f>IF(OR(G66="",G66=0,F66=""),"",F66/G66)</f>
        <v/>
      </c>
      <c r="J66" s="38" t="n"/>
      <c r="K66" s="38" t="n"/>
      <c r="L66" s="38" t="n"/>
    </row>
    <row r="67">
      <c r="A67" s="33" t="n"/>
      <c r="B67" s="32" t="n"/>
      <c r="C67" s="41" t="n"/>
      <c r="D67" s="58" t="n"/>
      <c r="E67" s="59" t="n"/>
      <c r="F67" s="55">
        <f>IF(OR(D67="",E67=""),"",D67*E67)</f>
        <v/>
      </c>
      <c r="G67" s="48">
        <f>IF(OR(B67="",C67=""),"",IFERROR(IF(MAXIFS($C$4:C66,$B$4:B66,B67)=0,"",C67-MAXIFS($C$4:C66,$B$4:B66,B67)),""))</f>
        <v/>
      </c>
      <c r="H67" s="56">
        <f>IF(OR(G67="",G67=0,D67=""),"",D67/G67*100)</f>
        <v/>
      </c>
      <c r="I67" s="57">
        <f>IF(OR(G67="",G67=0,F67=""),"",F67/G67)</f>
        <v/>
      </c>
      <c r="J67" s="40" t="n"/>
      <c r="K67" s="40" t="n"/>
      <c r="L67" s="40" t="n"/>
    </row>
    <row r="68">
      <c r="A68" s="35" t="n"/>
      <c r="B68" s="34" t="n"/>
      <c r="C68" s="39" t="n"/>
      <c r="D68" s="53" t="n"/>
      <c r="E68" s="54" t="n"/>
      <c r="F68" s="55">
        <f>IF(OR(D68="",E68=""),"",D68*E68)</f>
        <v/>
      </c>
      <c r="G68" s="48">
        <f>IF(OR(B68="",C68=""),"",IFERROR(IF(MAXIFS($C$4:C67,$B$4:B67,B68)=0,"",C68-MAXIFS($C$4:C67,$B$4:B67,B68)),""))</f>
        <v/>
      </c>
      <c r="H68" s="56">
        <f>IF(OR(G68="",G68=0,D68=""),"",D68/G68*100)</f>
        <v/>
      </c>
      <c r="I68" s="57">
        <f>IF(OR(G68="",G68=0,F68=""),"",F68/G68)</f>
        <v/>
      </c>
      <c r="J68" s="38" t="n"/>
      <c r="K68" s="38" t="n"/>
      <c r="L68" s="38" t="n"/>
    </row>
    <row r="69">
      <c r="A69" s="33" t="n"/>
      <c r="B69" s="32" t="n"/>
      <c r="C69" s="41" t="n"/>
      <c r="D69" s="58" t="n"/>
      <c r="E69" s="59" t="n"/>
      <c r="F69" s="55">
        <f>IF(OR(D69="",E69=""),"",D69*E69)</f>
        <v/>
      </c>
      <c r="G69" s="48">
        <f>IF(OR(B69="",C69=""),"",IFERROR(IF(MAXIFS($C$4:C68,$B$4:B68,B69)=0,"",C69-MAXIFS($C$4:C68,$B$4:B68,B69)),""))</f>
        <v/>
      </c>
      <c r="H69" s="56">
        <f>IF(OR(G69="",G69=0,D69=""),"",D69/G69*100)</f>
        <v/>
      </c>
      <c r="I69" s="57">
        <f>IF(OR(G69="",G69=0,F69=""),"",F69/G69)</f>
        <v/>
      </c>
      <c r="J69" s="40" t="n"/>
      <c r="K69" s="40" t="n"/>
      <c r="L69" s="40" t="n"/>
    </row>
    <row r="70">
      <c r="A70" s="35" t="n"/>
      <c r="B70" s="34" t="n"/>
      <c r="C70" s="39" t="n"/>
      <c r="D70" s="53" t="n"/>
      <c r="E70" s="54" t="n"/>
      <c r="F70" s="55">
        <f>IF(OR(D70="",E70=""),"",D70*E70)</f>
        <v/>
      </c>
      <c r="G70" s="48">
        <f>IF(OR(B70="",C70=""),"",IFERROR(IF(MAXIFS($C$4:C69,$B$4:B69,B70)=0,"",C70-MAXIFS($C$4:C69,$B$4:B69,B70)),""))</f>
        <v/>
      </c>
      <c r="H70" s="56">
        <f>IF(OR(G70="",G70=0,D70=""),"",D70/G70*100)</f>
        <v/>
      </c>
      <c r="I70" s="57">
        <f>IF(OR(G70="",G70=0,F70=""),"",F70/G70)</f>
        <v/>
      </c>
      <c r="J70" s="38" t="n"/>
      <c r="K70" s="38" t="n"/>
      <c r="L70" s="38" t="n"/>
    </row>
    <row r="71">
      <c r="A71" s="33" t="n"/>
      <c r="B71" s="32" t="n"/>
      <c r="C71" s="41" t="n"/>
      <c r="D71" s="58" t="n"/>
      <c r="E71" s="59" t="n"/>
      <c r="F71" s="55">
        <f>IF(OR(D71="",E71=""),"",D71*E71)</f>
        <v/>
      </c>
      <c r="G71" s="48">
        <f>IF(OR(B71="",C71=""),"",IFERROR(IF(MAXIFS($C$4:C70,$B$4:B70,B71)=0,"",C71-MAXIFS($C$4:C70,$B$4:B70,B71)),""))</f>
        <v/>
      </c>
      <c r="H71" s="56">
        <f>IF(OR(G71="",G71=0,D71=""),"",D71/G71*100)</f>
        <v/>
      </c>
      <c r="I71" s="57">
        <f>IF(OR(G71="",G71=0,F71=""),"",F71/G71)</f>
        <v/>
      </c>
      <c r="J71" s="40" t="n"/>
      <c r="K71" s="40" t="n"/>
      <c r="L71" s="40" t="n"/>
    </row>
    <row r="72">
      <c r="A72" s="35" t="n"/>
      <c r="B72" s="34" t="n"/>
      <c r="C72" s="39" t="n"/>
      <c r="D72" s="53" t="n"/>
      <c r="E72" s="54" t="n"/>
      <c r="F72" s="55">
        <f>IF(OR(D72="",E72=""),"",D72*E72)</f>
        <v/>
      </c>
      <c r="G72" s="48">
        <f>IF(OR(B72="",C72=""),"",IFERROR(IF(MAXIFS($C$4:C71,$B$4:B71,B72)=0,"",C72-MAXIFS($C$4:C71,$B$4:B71,B72)),""))</f>
        <v/>
      </c>
      <c r="H72" s="56">
        <f>IF(OR(G72="",G72=0,D72=""),"",D72/G72*100)</f>
        <v/>
      </c>
      <c r="I72" s="57">
        <f>IF(OR(G72="",G72=0,F72=""),"",F72/G72)</f>
        <v/>
      </c>
      <c r="J72" s="38" t="n"/>
      <c r="K72" s="38" t="n"/>
      <c r="L72" s="38" t="n"/>
    </row>
    <row r="73">
      <c r="A73" s="33" t="n"/>
      <c r="B73" s="32" t="n"/>
      <c r="C73" s="41" t="n"/>
      <c r="D73" s="58" t="n"/>
      <c r="E73" s="59" t="n"/>
      <c r="F73" s="55">
        <f>IF(OR(D73="",E73=""),"",D73*E73)</f>
        <v/>
      </c>
      <c r="G73" s="48">
        <f>IF(OR(B73="",C73=""),"",IFERROR(IF(MAXIFS($C$4:C72,$B$4:B72,B73)=0,"",C73-MAXIFS($C$4:C72,$B$4:B72,B73)),""))</f>
        <v/>
      </c>
      <c r="H73" s="56">
        <f>IF(OR(G73="",G73=0,D73=""),"",D73/G73*100)</f>
        <v/>
      </c>
      <c r="I73" s="57">
        <f>IF(OR(G73="",G73=0,F73=""),"",F73/G73)</f>
        <v/>
      </c>
      <c r="J73" s="40" t="n"/>
      <c r="K73" s="40" t="n"/>
      <c r="L73" s="40" t="n"/>
    </row>
    <row r="74">
      <c r="A74" s="35" t="n"/>
      <c r="B74" s="34" t="n"/>
      <c r="C74" s="39" t="n"/>
      <c r="D74" s="53" t="n"/>
      <c r="E74" s="54" t="n"/>
      <c r="F74" s="55">
        <f>IF(OR(D74="",E74=""),"",D74*E74)</f>
        <v/>
      </c>
      <c r="G74" s="48">
        <f>IF(OR(B74="",C74=""),"",IFERROR(IF(MAXIFS($C$4:C73,$B$4:B73,B74)=0,"",C74-MAXIFS($C$4:C73,$B$4:B73,B74)),""))</f>
        <v/>
      </c>
      <c r="H74" s="56">
        <f>IF(OR(G74="",G74=0,D74=""),"",D74/G74*100)</f>
        <v/>
      </c>
      <c r="I74" s="57">
        <f>IF(OR(G74="",G74=0,F74=""),"",F74/G74)</f>
        <v/>
      </c>
      <c r="J74" s="38" t="n"/>
      <c r="K74" s="38" t="n"/>
      <c r="L74" s="38" t="n"/>
    </row>
    <row r="75">
      <c r="A75" s="33" t="n"/>
      <c r="B75" s="32" t="n"/>
      <c r="C75" s="41" t="n"/>
      <c r="D75" s="58" t="n"/>
      <c r="E75" s="59" t="n"/>
      <c r="F75" s="55">
        <f>IF(OR(D75="",E75=""),"",D75*E75)</f>
        <v/>
      </c>
      <c r="G75" s="48">
        <f>IF(OR(B75="",C75=""),"",IFERROR(IF(MAXIFS($C$4:C74,$B$4:B74,B75)=0,"",C75-MAXIFS($C$4:C74,$B$4:B74,B75)),""))</f>
        <v/>
      </c>
      <c r="H75" s="56">
        <f>IF(OR(G75="",G75=0,D75=""),"",D75/G75*100)</f>
        <v/>
      </c>
      <c r="I75" s="57">
        <f>IF(OR(G75="",G75=0,F75=""),"",F75/G75)</f>
        <v/>
      </c>
      <c r="J75" s="40" t="n"/>
      <c r="K75" s="40" t="n"/>
      <c r="L75" s="40" t="n"/>
    </row>
    <row r="76">
      <c r="A76" s="35" t="n"/>
      <c r="B76" s="34" t="n"/>
      <c r="C76" s="39" t="n"/>
      <c r="D76" s="53" t="n"/>
      <c r="E76" s="54" t="n"/>
      <c r="F76" s="55">
        <f>IF(OR(D76="",E76=""),"",D76*E76)</f>
        <v/>
      </c>
      <c r="G76" s="48">
        <f>IF(OR(B76="",C76=""),"",IFERROR(IF(MAXIFS($C$4:C75,$B$4:B75,B76)=0,"",C76-MAXIFS($C$4:C75,$B$4:B75,B76)),""))</f>
        <v/>
      </c>
      <c r="H76" s="56">
        <f>IF(OR(G76="",G76=0,D76=""),"",D76/G76*100)</f>
        <v/>
      </c>
      <c r="I76" s="57">
        <f>IF(OR(G76="",G76=0,F76=""),"",F76/G76)</f>
        <v/>
      </c>
      <c r="J76" s="38" t="n"/>
      <c r="K76" s="38" t="n"/>
      <c r="L76" s="38" t="n"/>
    </row>
    <row r="77">
      <c r="A77" s="33" t="n"/>
      <c r="B77" s="32" t="n"/>
      <c r="C77" s="41" t="n"/>
      <c r="D77" s="58" t="n"/>
      <c r="E77" s="59" t="n"/>
      <c r="F77" s="55">
        <f>IF(OR(D77="",E77=""),"",D77*E77)</f>
        <v/>
      </c>
      <c r="G77" s="48">
        <f>IF(OR(B77="",C77=""),"",IFERROR(IF(MAXIFS($C$4:C76,$B$4:B76,B77)=0,"",C77-MAXIFS($C$4:C76,$B$4:B76,B77)),""))</f>
        <v/>
      </c>
      <c r="H77" s="56">
        <f>IF(OR(G77="",G77=0,D77=""),"",D77/G77*100)</f>
        <v/>
      </c>
      <c r="I77" s="57">
        <f>IF(OR(G77="",G77=0,F77=""),"",F77/G77)</f>
        <v/>
      </c>
      <c r="J77" s="40" t="n"/>
      <c r="K77" s="40" t="n"/>
      <c r="L77" s="40" t="n"/>
    </row>
    <row r="78">
      <c r="A78" s="35" t="n"/>
      <c r="B78" s="34" t="n"/>
      <c r="C78" s="39" t="n"/>
      <c r="D78" s="53" t="n"/>
      <c r="E78" s="54" t="n"/>
      <c r="F78" s="55">
        <f>IF(OR(D78="",E78=""),"",D78*E78)</f>
        <v/>
      </c>
      <c r="G78" s="48">
        <f>IF(OR(B78="",C78=""),"",IFERROR(IF(MAXIFS($C$4:C77,$B$4:B77,B78)=0,"",C78-MAXIFS($C$4:C77,$B$4:B77,B78)),""))</f>
        <v/>
      </c>
      <c r="H78" s="56">
        <f>IF(OR(G78="",G78=0,D78=""),"",D78/G78*100)</f>
        <v/>
      </c>
      <c r="I78" s="57">
        <f>IF(OR(G78="",G78=0,F78=""),"",F78/G78)</f>
        <v/>
      </c>
      <c r="J78" s="38" t="n"/>
      <c r="K78" s="38" t="n"/>
      <c r="L78" s="38" t="n"/>
    </row>
    <row r="79">
      <c r="A79" s="33" t="n"/>
      <c r="B79" s="32" t="n"/>
      <c r="C79" s="41" t="n"/>
      <c r="D79" s="58" t="n"/>
      <c r="E79" s="59" t="n"/>
      <c r="F79" s="55">
        <f>IF(OR(D79="",E79=""),"",D79*E79)</f>
        <v/>
      </c>
      <c r="G79" s="48">
        <f>IF(OR(B79="",C79=""),"",IFERROR(IF(MAXIFS($C$4:C78,$B$4:B78,B79)=0,"",C79-MAXIFS($C$4:C78,$B$4:B78,B79)),""))</f>
        <v/>
      </c>
      <c r="H79" s="56">
        <f>IF(OR(G79="",G79=0,D79=""),"",D79/G79*100)</f>
        <v/>
      </c>
      <c r="I79" s="57">
        <f>IF(OR(G79="",G79=0,F79=""),"",F79/G79)</f>
        <v/>
      </c>
      <c r="J79" s="40" t="n"/>
      <c r="K79" s="40" t="n"/>
      <c r="L79" s="40" t="n"/>
    </row>
    <row r="80">
      <c r="A80" s="35" t="n"/>
      <c r="B80" s="34" t="n"/>
      <c r="C80" s="39" t="n"/>
      <c r="D80" s="53" t="n"/>
      <c r="E80" s="54" t="n"/>
      <c r="F80" s="55">
        <f>IF(OR(D80="",E80=""),"",D80*E80)</f>
        <v/>
      </c>
      <c r="G80" s="48">
        <f>IF(OR(B80="",C80=""),"",IFERROR(IF(MAXIFS($C$4:C79,$B$4:B79,B80)=0,"",C80-MAXIFS($C$4:C79,$B$4:B79,B80)),""))</f>
        <v/>
      </c>
      <c r="H80" s="56">
        <f>IF(OR(G80="",G80=0,D80=""),"",D80/G80*100)</f>
        <v/>
      </c>
      <c r="I80" s="57">
        <f>IF(OR(G80="",G80=0,F80=""),"",F80/G80)</f>
        <v/>
      </c>
      <c r="J80" s="38" t="n"/>
      <c r="K80" s="38" t="n"/>
      <c r="L80" s="38" t="n"/>
    </row>
    <row r="81">
      <c r="A81" s="33" t="n"/>
      <c r="B81" s="32" t="n"/>
      <c r="C81" s="41" t="n"/>
      <c r="D81" s="58" t="n"/>
      <c r="E81" s="59" t="n"/>
      <c r="F81" s="55">
        <f>IF(OR(D81="",E81=""),"",D81*E81)</f>
        <v/>
      </c>
      <c r="G81" s="48">
        <f>IF(OR(B81="",C81=""),"",IFERROR(IF(MAXIFS($C$4:C80,$B$4:B80,B81)=0,"",C81-MAXIFS($C$4:C80,$B$4:B80,B81)),""))</f>
        <v/>
      </c>
      <c r="H81" s="56">
        <f>IF(OR(G81="",G81=0,D81=""),"",D81/G81*100)</f>
        <v/>
      </c>
      <c r="I81" s="57">
        <f>IF(OR(G81="",G81=0,F81=""),"",F81/G81)</f>
        <v/>
      </c>
      <c r="J81" s="40" t="n"/>
      <c r="K81" s="40" t="n"/>
      <c r="L81" s="40" t="n"/>
    </row>
    <row r="82">
      <c r="A82" s="35" t="n"/>
      <c r="B82" s="34" t="n"/>
      <c r="C82" s="39" t="n"/>
      <c r="D82" s="53" t="n"/>
      <c r="E82" s="54" t="n"/>
      <c r="F82" s="55">
        <f>IF(OR(D82="",E82=""),"",D82*E82)</f>
        <v/>
      </c>
      <c r="G82" s="48">
        <f>IF(OR(B82="",C82=""),"",IFERROR(IF(MAXIFS($C$4:C81,$B$4:B81,B82)=0,"",C82-MAXIFS($C$4:C81,$B$4:B81,B82)),""))</f>
        <v/>
      </c>
      <c r="H82" s="56">
        <f>IF(OR(G82="",G82=0,D82=""),"",D82/G82*100)</f>
        <v/>
      </c>
      <c r="I82" s="57">
        <f>IF(OR(G82="",G82=0,F82=""),"",F82/G82)</f>
        <v/>
      </c>
      <c r="J82" s="38" t="n"/>
      <c r="K82" s="38" t="n"/>
      <c r="L82" s="38" t="n"/>
    </row>
    <row r="83">
      <c r="A83" s="33" t="n"/>
      <c r="B83" s="32" t="n"/>
      <c r="C83" s="41" t="n"/>
      <c r="D83" s="58" t="n"/>
      <c r="E83" s="59" t="n"/>
      <c r="F83" s="55">
        <f>IF(OR(D83="",E83=""),"",D83*E83)</f>
        <v/>
      </c>
      <c r="G83" s="48">
        <f>IF(OR(B83="",C83=""),"",IFERROR(IF(MAXIFS($C$4:C82,$B$4:B82,B83)=0,"",C83-MAXIFS($C$4:C82,$B$4:B82,B83)),""))</f>
        <v/>
      </c>
      <c r="H83" s="56">
        <f>IF(OR(G83="",G83=0,D83=""),"",D83/G83*100)</f>
        <v/>
      </c>
      <c r="I83" s="57">
        <f>IF(OR(G83="",G83=0,F83=""),"",F83/G83)</f>
        <v/>
      </c>
      <c r="J83" s="40" t="n"/>
      <c r="K83" s="40" t="n"/>
      <c r="L83" s="40" t="n"/>
    </row>
    <row r="84">
      <c r="A84" s="35" t="n"/>
      <c r="B84" s="34" t="n"/>
      <c r="C84" s="39" t="n"/>
      <c r="D84" s="53" t="n"/>
      <c r="E84" s="54" t="n"/>
      <c r="F84" s="55">
        <f>IF(OR(D84="",E84=""),"",D84*E84)</f>
        <v/>
      </c>
      <c r="G84" s="48">
        <f>IF(OR(B84="",C84=""),"",IFERROR(IF(MAXIFS($C$4:C83,$B$4:B83,B84)=0,"",C84-MAXIFS($C$4:C83,$B$4:B83,B84)),""))</f>
        <v/>
      </c>
      <c r="H84" s="56">
        <f>IF(OR(G84="",G84=0,D84=""),"",D84/G84*100)</f>
        <v/>
      </c>
      <c r="I84" s="57">
        <f>IF(OR(G84="",G84=0,F84=""),"",F84/G84)</f>
        <v/>
      </c>
      <c r="J84" s="38" t="n"/>
      <c r="K84" s="38" t="n"/>
      <c r="L84" s="38" t="n"/>
    </row>
    <row r="85">
      <c r="A85" s="33" t="n"/>
      <c r="B85" s="32" t="n"/>
      <c r="C85" s="41" t="n"/>
      <c r="D85" s="58" t="n"/>
      <c r="E85" s="59" t="n"/>
      <c r="F85" s="55">
        <f>IF(OR(D85="",E85=""),"",D85*E85)</f>
        <v/>
      </c>
      <c r="G85" s="48">
        <f>IF(OR(B85="",C85=""),"",IFERROR(IF(MAXIFS($C$4:C84,$B$4:B84,B85)=0,"",C85-MAXIFS($C$4:C84,$B$4:B84,B85)),""))</f>
        <v/>
      </c>
      <c r="H85" s="56">
        <f>IF(OR(G85="",G85=0,D85=""),"",D85/G85*100)</f>
        <v/>
      </c>
      <c r="I85" s="57">
        <f>IF(OR(G85="",G85=0,F85=""),"",F85/G85)</f>
        <v/>
      </c>
      <c r="J85" s="40" t="n"/>
      <c r="K85" s="40" t="n"/>
      <c r="L85" s="40" t="n"/>
    </row>
    <row r="86">
      <c r="A86" s="35" t="n"/>
      <c r="B86" s="34" t="n"/>
      <c r="C86" s="39" t="n"/>
      <c r="D86" s="53" t="n"/>
      <c r="E86" s="54" t="n"/>
      <c r="F86" s="55">
        <f>IF(OR(D86="",E86=""),"",D86*E86)</f>
        <v/>
      </c>
      <c r="G86" s="48">
        <f>IF(OR(B86="",C86=""),"",IFERROR(IF(MAXIFS($C$4:C85,$B$4:B85,B86)=0,"",C86-MAXIFS($C$4:C85,$B$4:B85,B86)),""))</f>
        <v/>
      </c>
      <c r="H86" s="56">
        <f>IF(OR(G86="",G86=0,D86=""),"",D86/G86*100)</f>
        <v/>
      </c>
      <c r="I86" s="57">
        <f>IF(OR(G86="",G86=0,F86=""),"",F86/G86)</f>
        <v/>
      </c>
      <c r="J86" s="38" t="n"/>
      <c r="K86" s="38" t="n"/>
      <c r="L86" s="38" t="n"/>
    </row>
    <row r="87">
      <c r="A87" s="33" t="n"/>
      <c r="B87" s="32" t="n"/>
      <c r="C87" s="41" t="n"/>
      <c r="D87" s="58" t="n"/>
      <c r="E87" s="59" t="n"/>
      <c r="F87" s="55">
        <f>IF(OR(D87="",E87=""),"",D87*E87)</f>
        <v/>
      </c>
      <c r="G87" s="48">
        <f>IF(OR(B87="",C87=""),"",IFERROR(IF(MAXIFS($C$4:C86,$B$4:B86,B87)=0,"",C87-MAXIFS($C$4:C86,$B$4:B86,B87)),""))</f>
        <v/>
      </c>
      <c r="H87" s="56">
        <f>IF(OR(G87="",G87=0,D87=""),"",D87/G87*100)</f>
        <v/>
      </c>
      <c r="I87" s="57">
        <f>IF(OR(G87="",G87=0,F87=""),"",F87/G87)</f>
        <v/>
      </c>
      <c r="J87" s="40" t="n"/>
      <c r="K87" s="40" t="n"/>
      <c r="L87" s="40" t="n"/>
    </row>
    <row r="88">
      <c r="A88" s="35" t="n"/>
      <c r="B88" s="34" t="n"/>
      <c r="C88" s="39" t="n"/>
      <c r="D88" s="53" t="n"/>
      <c r="E88" s="54" t="n"/>
      <c r="F88" s="55">
        <f>IF(OR(D88="",E88=""),"",D88*E88)</f>
        <v/>
      </c>
      <c r="G88" s="48">
        <f>IF(OR(B88="",C88=""),"",IFERROR(IF(MAXIFS($C$4:C87,$B$4:B87,B88)=0,"",C88-MAXIFS($C$4:C87,$B$4:B87,B88)),""))</f>
        <v/>
      </c>
      <c r="H88" s="56">
        <f>IF(OR(G88="",G88=0,D88=""),"",D88/G88*100)</f>
        <v/>
      </c>
      <c r="I88" s="57">
        <f>IF(OR(G88="",G88=0,F88=""),"",F88/G88)</f>
        <v/>
      </c>
      <c r="J88" s="38" t="n"/>
      <c r="K88" s="38" t="n"/>
      <c r="L88" s="38" t="n"/>
    </row>
    <row r="89">
      <c r="A89" s="33" t="n"/>
      <c r="B89" s="32" t="n"/>
      <c r="C89" s="41" t="n"/>
      <c r="D89" s="58" t="n"/>
      <c r="E89" s="59" t="n"/>
      <c r="F89" s="55">
        <f>IF(OR(D89="",E89=""),"",D89*E89)</f>
        <v/>
      </c>
      <c r="G89" s="48">
        <f>IF(OR(B89="",C89=""),"",IFERROR(IF(MAXIFS($C$4:C88,$B$4:B88,B89)=0,"",C89-MAXIFS($C$4:C88,$B$4:B88,B89)),""))</f>
        <v/>
      </c>
      <c r="H89" s="56">
        <f>IF(OR(G89="",G89=0,D89=""),"",D89/G89*100)</f>
        <v/>
      </c>
      <c r="I89" s="57">
        <f>IF(OR(G89="",G89=0,F89=""),"",F89/G89)</f>
        <v/>
      </c>
      <c r="J89" s="40" t="n"/>
      <c r="K89" s="40" t="n"/>
      <c r="L89" s="40" t="n"/>
    </row>
    <row r="90">
      <c r="A90" s="35" t="n"/>
      <c r="B90" s="34" t="n"/>
      <c r="C90" s="39" t="n"/>
      <c r="D90" s="53" t="n"/>
      <c r="E90" s="54" t="n"/>
      <c r="F90" s="55">
        <f>IF(OR(D90="",E90=""),"",D90*E90)</f>
        <v/>
      </c>
      <c r="G90" s="48">
        <f>IF(OR(B90="",C90=""),"",IFERROR(IF(MAXIFS($C$4:C89,$B$4:B89,B90)=0,"",C90-MAXIFS($C$4:C89,$B$4:B89,B90)),""))</f>
        <v/>
      </c>
      <c r="H90" s="56">
        <f>IF(OR(G90="",G90=0,D90=""),"",D90/G90*100)</f>
        <v/>
      </c>
      <c r="I90" s="57">
        <f>IF(OR(G90="",G90=0,F90=""),"",F90/G90)</f>
        <v/>
      </c>
      <c r="J90" s="38" t="n"/>
      <c r="K90" s="38" t="n"/>
      <c r="L90" s="38" t="n"/>
    </row>
    <row r="91">
      <c r="A91" s="33" t="n"/>
      <c r="B91" s="32" t="n"/>
      <c r="C91" s="41" t="n"/>
      <c r="D91" s="58" t="n"/>
      <c r="E91" s="59" t="n"/>
      <c r="F91" s="55">
        <f>IF(OR(D91="",E91=""),"",D91*E91)</f>
        <v/>
      </c>
      <c r="G91" s="48">
        <f>IF(OR(B91="",C91=""),"",IFERROR(IF(MAXIFS($C$4:C90,$B$4:B90,B91)=0,"",C91-MAXIFS($C$4:C90,$B$4:B90,B91)),""))</f>
        <v/>
      </c>
      <c r="H91" s="56">
        <f>IF(OR(G91="",G91=0,D91=""),"",D91/G91*100)</f>
        <v/>
      </c>
      <c r="I91" s="57">
        <f>IF(OR(G91="",G91=0,F91=""),"",F91/G91)</f>
        <v/>
      </c>
      <c r="J91" s="40" t="n"/>
      <c r="K91" s="40" t="n"/>
      <c r="L91" s="40" t="n"/>
    </row>
    <row r="92">
      <c r="A92" s="35" t="n"/>
      <c r="B92" s="34" t="n"/>
      <c r="C92" s="39" t="n"/>
      <c r="D92" s="53" t="n"/>
      <c r="E92" s="54" t="n"/>
      <c r="F92" s="55">
        <f>IF(OR(D92="",E92=""),"",D92*E92)</f>
        <v/>
      </c>
      <c r="G92" s="48">
        <f>IF(OR(B92="",C92=""),"",IFERROR(IF(MAXIFS($C$4:C91,$B$4:B91,B92)=0,"",C92-MAXIFS($C$4:C91,$B$4:B91,B92)),""))</f>
        <v/>
      </c>
      <c r="H92" s="56">
        <f>IF(OR(G92="",G92=0,D92=""),"",D92/G92*100)</f>
        <v/>
      </c>
      <c r="I92" s="57">
        <f>IF(OR(G92="",G92=0,F92=""),"",F92/G92)</f>
        <v/>
      </c>
      <c r="J92" s="38" t="n"/>
      <c r="K92" s="38" t="n"/>
      <c r="L92" s="38" t="n"/>
    </row>
    <row r="93">
      <c r="A93" s="33" t="n"/>
      <c r="B93" s="32" t="n"/>
      <c r="C93" s="41" t="n"/>
      <c r="D93" s="58" t="n"/>
      <c r="E93" s="59" t="n"/>
      <c r="F93" s="55">
        <f>IF(OR(D93="",E93=""),"",D93*E93)</f>
        <v/>
      </c>
      <c r="G93" s="48">
        <f>IF(OR(B93="",C93=""),"",IFERROR(IF(MAXIFS($C$4:C92,$B$4:B92,B93)=0,"",C93-MAXIFS($C$4:C92,$B$4:B92,B93)),""))</f>
        <v/>
      </c>
      <c r="H93" s="56">
        <f>IF(OR(G93="",G93=0,D93=""),"",D93/G93*100)</f>
        <v/>
      </c>
      <c r="I93" s="57">
        <f>IF(OR(G93="",G93=0,F93=""),"",F93/G93)</f>
        <v/>
      </c>
      <c r="J93" s="40" t="n"/>
      <c r="K93" s="40" t="n"/>
      <c r="L93" s="40" t="n"/>
    </row>
    <row r="94">
      <c r="A94" s="35" t="n"/>
      <c r="B94" s="34" t="n"/>
      <c r="C94" s="39" t="n"/>
      <c r="D94" s="53" t="n"/>
      <c r="E94" s="54" t="n"/>
      <c r="F94" s="55">
        <f>IF(OR(D94="",E94=""),"",D94*E94)</f>
        <v/>
      </c>
      <c r="G94" s="48">
        <f>IF(OR(B94="",C94=""),"",IFERROR(IF(MAXIFS($C$4:C93,$B$4:B93,B94)=0,"",C94-MAXIFS($C$4:C93,$B$4:B93,B94)),""))</f>
        <v/>
      </c>
      <c r="H94" s="56">
        <f>IF(OR(G94="",G94=0,D94=""),"",D94/G94*100)</f>
        <v/>
      </c>
      <c r="I94" s="57">
        <f>IF(OR(G94="",G94=0,F94=""),"",F94/G94)</f>
        <v/>
      </c>
      <c r="J94" s="38" t="n"/>
      <c r="K94" s="38" t="n"/>
      <c r="L94" s="38" t="n"/>
    </row>
    <row r="95">
      <c r="A95" s="33" t="n"/>
      <c r="B95" s="32" t="n"/>
      <c r="C95" s="41" t="n"/>
      <c r="D95" s="58" t="n"/>
      <c r="E95" s="59" t="n"/>
      <c r="F95" s="55">
        <f>IF(OR(D95="",E95=""),"",D95*E95)</f>
        <v/>
      </c>
      <c r="G95" s="48">
        <f>IF(OR(B95="",C95=""),"",IFERROR(IF(MAXIFS($C$4:C94,$B$4:B94,B95)=0,"",C95-MAXIFS($C$4:C94,$B$4:B94,B95)),""))</f>
        <v/>
      </c>
      <c r="H95" s="56">
        <f>IF(OR(G95="",G95=0,D95=""),"",D95/G95*100)</f>
        <v/>
      </c>
      <c r="I95" s="57">
        <f>IF(OR(G95="",G95=0,F95=""),"",F95/G95)</f>
        <v/>
      </c>
      <c r="J95" s="40" t="n"/>
      <c r="K95" s="40" t="n"/>
      <c r="L95" s="40" t="n"/>
    </row>
    <row r="96">
      <c r="A96" s="35" t="n"/>
      <c r="B96" s="34" t="n"/>
      <c r="C96" s="39" t="n"/>
      <c r="D96" s="53" t="n"/>
      <c r="E96" s="54" t="n"/>
      <c r="F96" s="55">
        <f>IF(OR(D96="",E96=""),"",D96*E96)</f>
        <v/>
      </c>
      <c r="G96" s="48">
        <f>IF(OR(B96="",C96=""),"",IFERROR(IF(MAXIFS($C$4:C95,$B$4:B95,B96)=0,"",C96-MAXIFS($C$4:C95,$B$4:B95,B96)),""))</f>
        <v/>
      </c>
      <c r="H96" s="56">
        <f>IF(OR(G96="",G96=0,D96=""),"",D96/G96*100)</f>
        <v/>
      </c>
      <c r="I96" s="57">
        <f>IF(OR(G96="",G96=0,F96=""),"",F96/G96)</f>
        <v/>
      </c>
      <c r="J96" s="38" t="n"/>
      <c r="K96" s="38" t="n"/>
      <c r="L96" s="38" t="n"/>
    </row>
    <row r="97">
      <c r="A97" s="33" t="n"/>
      <c r="B97" s="32" t="n"/>
      <c r="C97" s="41" t="n"/>
      <c r="D97" s="58" t="n"/>
      <c r="E97" s="59" t="n"/>
      <c r="F97" s="55">
        <f>IF(OR(D97="",E97=""),"",D97*E97)</f>
        <v/>
      </c>
      <c r="G97" s="48">
        <f>IF(OR(B97="",C97=""),"",IFERROR(IF(MAXIFS($C$4:C96,$B$4:B96,B97)=0,"",C97-MAXIFS($C$4:C96,$B$4:B96,B97)),""))</f>
        <v/>
      </c>
      <c r="H97" s="56">
        <f>IF(OR(G97="",G97=0,D97=""),"",D97/G97*100)</f>
        <v/>
      </c>
      <c r="I97" s="57">
        <f>IF(OR(G97="",G97=0,F97=""),"",F97/G97)</f>
        <v/>
      </c>
      <c r="J97" s="40" t="n"/>
      <c r="K97" s="40" t="n"/>
      <c r="L97" s="40" t="n"/>
    </row>
    <row r="98">
      <c r="A98" s="35" t="n"/>
      <c r="B98" s="34" t="n"/>
      <c r="C98" s="39" t="n"/>
      <c r="D98" s="53" t="n"/>
      <c r="E98" s="54" t="n"/>
      <c r="F98" s="55">
        <f>IF(OR(D98="",E98=""),"",D98*E98)</f>
        <v/>
      </c>
      <c r="G98" s="48">
        <f>IF(OR(B98="",C98=""),"",IFERROR(IF(MAXIFS($C$4:C97,$B$4:B97,B98)=0,"",C98-MAXIFS($C$4:C97,$B$4:B97,B98)),""))</f>
        <v/>
      </c>
      <c r="H98" s="56">
        <f>IF(OR(G98="",G98=0,D98=""),"",D98/G98*100)</f>
        <v/>
      </c>
      <c r="I98" s="57">
        <f>IF(OR(G98="",G98=0,F98=""),"",F98/G98)</f>
        <v/>
      </c>
      <c r="J98" s="38" t="n"/>
      <c r="K98" s="38" t="n"/>
      <c r="L98" s="38" t="n"/>
    </row>
    <row r="99">
      <c r="A99" s="33" t="n"/>
      <c r="B99" s="32" t="n"/>
      <c r="C99" s="41" t="n"/>
      <c r="D99" s="58" t="n"/>
      <c r="E99" s="59" t="n"/>
      <c r="F99" s="55">
        <f>IF(OR(D99="",E99=""),"",D99*E99)</f>
        <v/>
      </c>
      <c r="G99" s="48">
        <f>IF(OR(B99="",C99=""),"",IFERROR(IF(MAXIFS($C$4:C98,$B$4:B98,B99)=0,"",C99-MAXIFS($C$4:C98,$B$4:B98,B99)),""))</f>
        <v/>
      </c>
      <c r="H99" s="56">
        <f>IF(OR(G99="",G99=0,D99=""),"",D99/G99*100)</f>
        <v/>
      </c>
      <c r="I99" s="57">
        <f>IF(OR(G99="",G99=0,F99=""),"",F99/G99)</f>
        <v/>
      </c>
      <c r="J99" s="40" t="n"/>
      <c r="K99" s="40" t="n"/>
      <c r="L99" s="40" t="n"/>
    </row>
    <row r="100">
      <c r="A100" s="35" t="n"/>
      <c r="B100" s="34" t="n"/>
      <c r="C100" s="39" t="n"/>
      <c r="D100" s="53" t="n"/>
      <c r="E100" s="54" t="n"/>
      <c r="F100" s="55">
        <f>IF(OR(D100="",E100=""),"",D100*E100)</f>
        <v/>
      </c>
      <c r="G100" s="48">
        <f>IF(OR(B100="",C100=""),"",IFERROR(IF(MAXIFS($C$4:C99,$B$4:B99,B100)=0,"",C100-MAXIFS($C$4:C99,$B$4:B99,B100)),""))</f>
        <v/>
      </c>
      <c r="H100" s="56">
        <f>IF(OR(G100="",G100=0,D100=""),"",D100/G100*100)</f>
        <v/>
      </c>
      <c r="I100" s="57">
        <f>IF(OR(G100="",G100=0,F100=""),"",F100/G100)</f>
        <v/>
      </c>
      <c r="J100" s="38" t="n"/>
      <c r="K100" s="38" t="n"/>
      <c r="L100" s="38" t="n"/>
    </row>
    <row r="101">
      <c r="A101" s="33" t="n"/>
      <c r="B101" s="32" t="n"/>
      <c r="C101" s="41" t="n"/>
      <c r="D101" s="58" t="n"/>
      <c r="E101" s="59" t="n"/>
      <c r="F101" s="55">
        <f>IF(OR(D101="",E101=""),"",D101*E101)</f>
        <v/>
      </c>
      <c r="G101" s="48">
        <f>IF(OR(B101="",C101=""),"",IFERROR(IF(MAXIFS($C$4:C100,$B$4:B100,B101)=0,"",C101-MAXIFS($C$4:C100,$B$4:B100,B101)),""))</f>
        <v/>
      </c>
      <c r="H101" s="56">
        <f>IF(OR(G101="",G101=0,D101=""),"",D101/G101*100)</f>
        <v/>
      </c>
      <c r="I101" s="57">
        <f>IF(OR(G101="",G101=0,F101=""),"",F101/G101)</f>
        <v/>
      </c>
      <c r="J101" s="40" t="n"/>
      <c r="K101" s="40" t="n"/>
      <c r="L101" s="40" t="n"/>
    </row>
    <row r="102">
      <c r="A102" s="35" t="n"/>
      <c r="B102" s="34" t="n"/>
      <c r="C102" s="39" t="n"/>
      <c r="D102" s="53" t="n"/>
      <c r="E102" s="54" t="n"/>
      <c r="F102" s="55">
        <f>IF(OR(D102="",E102=""),"",D102*E102)</f>
        <v/>
      </c>
      <c r="G102" s="48">
        <f>IF(OR(B102="",C102=""),"",IFERROR(IF(MAXIFS($C$4:C101,$B$4:B101,B102)=0,"",C102-MAXIFS($C$4:C101,$B$4:B101,B102)),""))</f>
        <v/>
      </c>
      <c r="H102" s="56">
        <f>IF(OR(G102="",G102=0,D102=""),"",D102/G102*100)</f>
        <v/>
      </c>
      <c r="I102" s="57">
        <f>IF(OR(G102="",G102=0,F102=""),"",F102/G102)</f>
        <v/>
      </c>
      <c r="J102" s="38" t="n"/>
      <c r="K102" s="38" t="n"/>
      <c r="L102" s="38" t="n"/>
    </row>
    <row r="103">
      <c r="A103" s="33" t="n"/>
      <c r="B103" s="32" t="n"/>
      <c r="C103" s="41" t="n"/>
      <c r="D103" s="58" t="n"/>
      <c r="E103" s="59" t="n"/>
      <c r="F103" s="55">
        <f>IF(OR(D103="",E103=""),"",D103*E103)</f>
        <v/>
      </c>
      <c r="G103" s="48">
        <f>IF(OR(B103="",C103=""),"",IFERROR(IF(MAXIFS($C$4:C102,$B$4:B102,B103)=0,"",C103-MAXIFS($C$4:C102,$B$4:B102,B103)),""))</f>
        <v/>
      </c>
      <c r="H103" s="56">
        <f>IF(OR(G103="",G103=0,D103=""),"",D103/G103*100)</f>
        <v/>
      </c>
      <c r="I103" s="57">
        <f>IF(OR(G103="",G103=0,F103=""),"",F103/G103)</f>
        <v/>
      </c>
      <c r="J103" s="40" t="n"/>
      <c r="K103" s="40" t="n"/>
      <c r="L103" s="40" t="n"/>
    </row>
    <row r="104">
      <c r="A104" s="35" t="n"/>
      <c r="B104" s="34" t="n"/>
      <c r="C104" s="39" t="n"/>
      <c r="D104" s="53" t="n"/>
      <c r="E104" s="54" t="n"/>
      <c r="F104" s="55">
        <f>IF(OR(D104="",E104=""),"",D104*E104)</f>
        <v/>
      </c>
      <c r="G104" s="48">
        <f>IF(OR(B104="",C104=""),"",IFERROR(IF(MAXIFS($C$4:C103,$B$4:B103,B104)=0,"",C104-MAXIFS($C$4:C103,$B$4:B103,B104)),""))</f>
        <v/>
      </c>
      <c r="H104" s="56">
        <f>IF(OR(G104="",G104=0,D104=""),"",D104/G104*100)</f>
        <v/>
      </c>
      <c r="I104" s="57">
        <f>IF(OR(G104="",G104=0,F104=""),"",F104/G104)</f>
        <v/>
      </c>
      <c r="J104" s="38" t="n"/>
      <c r="K104" s="38" t="n"/>
      <c r="L104" s="38" t="n"/>
    </row>
    <row r="105">
      <c r="A105" s="33" t="n"/>
      <c r="B105" s="32" t="n"/>
      <c r="C105" s="41" t="n"/>
      <c r="D105" s="58" t="n"/>
      <c r="E105" s="59" t="n"/>
      <c r="F105" s="55">
        <f>IF(OR(D105="",E105=""),"",D105*E105)</f>
        <v/>
      </c>
      <c r="G105" s="48">
        <f>IF(OR(B105="",C105=""),"",IFERROR(IF(MAXIFS($C$4:C104,$B$4:B104,B105)=0,"",C105-MAXIFS($C$4:C104,$B$4:B104,B105)),""))</f>
        <v/>
      </c>
      <c r="H105" s="56">
        <f>IF(OR(G105="",G105=0,D105=""),"",D105/G105*100)</f>
        <v/>
      </c>
      <c r="I105" s="57">
        <f>IF(OR(G105="",G105=0,F105=""),"",F105/G105)</f>
        <v/>
      </c>
      <c r="J105" s="40" t="n"/>
      <c r="K105" s="40" t="n"/>
      <c r="L105" s="40" t="n"/>
    </row>
    <row r="106">
      <c r="A106" s="35" t="n"/>
      <c r="B106" s="34" t="n"/>
      <c r="C106" s="39" t="n"/>
      <c r="D106" s="53" t="n"/>
      <c r="E106" s="54" t="n"/>
      <c r="F106" s="55">
        <f>IF(OR(D106="",E106=""),"",D106*E106)</f>
        <v/>
      </c>
      <c r="G106" s="48">
        <f>IF(OR(B106="",C106=""),"",IFERROR(IF(MAXIFS($C$4:C105,$B$4:B105,B106)=0,"",C106-MAXIFS($C$4:C105,$B$4:B105,B106)),""))</f>
        <v/>
      </c>
      <c r="H106" s="56">
        <f>IF(OR(G106="",G106=0,D106=""),"",D106/G106*100)</f>
        <v/>
      </c>
      <c r="I106" s="57">
        <f>IF(OR(G106="",G106=0,F106=""),"",F106/G106)</f>
        <v/>
      </c>
      <c r="J106" s="38" t="n"/>
      <c r="K106" s="38" t="n"/>
      <c r="L106" s="38" t="n"/>
    </row>
    <row r="107">
      <c r="A107" s="33" t="n"/>
      <c r="B107" s="32" t="n"/>
      <c r="C107" s="41" t="n"/>
      <c r="D107" s="58" t="n"/>
      <c r="E107" s="59" t="n"/>
      <c r="F107" s="55">
        <f>IF(OR(D107="",E107=""),"",D107*E107)</f>
        <v/>
      </c>
      <c r="G107" s="48">
        <f>IF(OR(B107="",C107=""),"",IFERROR(IF(MAXIFS($C$4:C106,$B$4:B106,B107)=0,"",C107-MAXIFS($C$4:C106,$B$4:B106,B107)),""))</f>
        <v/>
      </c>
      <c r="H107" s="56">
        <f>IF(OR(G107="",G107=0,D107=""),"",D107/G107*100)</f>
        <v/>
      </c>
      <c r="I107" s="57">
        <f>IF(OR(G107="",G107=0,F107=""),"",F107/G107)</f>
        <v/>
      </c>
      <c r="J107" s="40" t="n"/>
      <c r="K107" s="40" t="n"/>
      <c r="L107" s="40" t="n"/>
    </row>
    <row r="108">
      <c r="A108" s="35" t="n"/>
      <c r="B108" s="34" t="n"/>
      <c r="C108" s="39" t="n"/>
      <c r="D108" s="53" t="n"/>
      <c r="E108" s="54" t="n"/>
      <c r="F108" s="55">
        <f>IF(OR(D108="",E108=""),"",D108*E108)</f>
        <v/>
      </c>
      <c r="G108" s="48">
        <f>IF(OR(B108="",C108=""),"",IFERROR(IF(MAXIFS($C$4:C107,$B$4:B107,B108)=0,"",C108-MAXIFS($C$4:C107,$B$4:B107,B108)),""))</f>
        <v/>
      </c>
      <c r="H108" s="56">
        <f>IF(OR(G108="",G108=0,D108=""),"",D108/G108*100)</f>
        <v/>
      </c>
      <c r="I108" s="57">
        <f>IF(OR(G108="",G108=0,F108=""),"",F108/G108)</f>
        <v/>
      </c>
      <c r="J108" s="38" t="n"/>
      <c r="K108" s="38" t="n"/>
      <c r="L108" s="38" t="n"/>
    </row>
    <row r="109">
      <c r="A109" s="33" t="n"/>
      <c r="B109" s="32" t="n"/>
      <c r="C109" s="41" t="n"/>
      <c r="D109" s="58" t="n"/>
      <c r="E109" s="59" t="n"/>
      <c r="F109" s="55">
        <f>IF(OR(D109="",E109=""),"",D109*E109)</f>
        <v/>
      </c>
      <c r="G109" s="48">
        <f>IF(OR(B109="",C109=""),"",IFERROR(IF(MAXIFS($C$4:C108,$B$4:B108,B109)=0,"",C109-MAXIFS($C$4:C108,$B$4:B108,B109)),""))</f>
        <v/>
      </c>
      <c r="H109" s="56">
        <f>IF(OR(G109="",G109=0,D109=""),"",D109/G109*100)</f>
        <v/>
      </c>
      <c r="I109" s="57">
        <f>IF(OR(G109="",G109=0,F109=""),"",F109/G109)</f>
        <v/>
      </c>
      <c r="J109" s="40" t="n"/>
      <c r="K109" s="40" t="n"/>
      <c r="L109" s="40" t="n"/>
    </row>
    <row r="110">
      <c r="A110" s="35" t="n"/>
      <c r="B110" s="34" t="n"/>
      <c r="C110" s="39" t="n"/>
      <c r="D110" s="53" t="n"/>
      <c r="E110" s="54" t="n"/>
      <c r="F110" s="55">
        <f>IF(OR(D110="",E110=""),"",D110*E110)</f>
        <v/>
      </c>
      <c r="G110" s="48">
        <f>IF(OR(B110="",C110=""),"",IFERROR(IF(MAXIFS($C$4:C109,$B$4:B109,B110)=0,"",C110-MAXIFS($C$4:C109,$B$4:B109,B110)),""))</f>
        <v/>
      </c>
      <c r="H110" s="56">
        <f>IF(OR(G110="",G110=0,D110=""),"",D110/G110*100)</f>
        <v/>
      </c>
      <c r="I110" s="57">
        <f>IF(OR(G110="",G110=0,F110=""),"",F110/G110)</f>
        <v/>
      </c>
      <c r="J110" s="38" t="n"/>
      <c r="K110" s="38" t="n"/>
      <c r="L110" s="38" t="n"/>
    </row>
    <row r="111">
      <c r="A111" s="33" t="n"/>
      <c r="B111" s="32" t="n"/>
      <c r="C111" s="41" t="n"/>
      <c r="D111" s="58" t="n"/>
      <c r="E111" s="59" t="n"/>
      <c r="F111" s="55">
        <f>IF(OR(D111="",E111=""),"",D111*E111)</f>
        <v/>
      </c>
      <c r="G111" s="48">
        <f>IF(OR(B111="",C111=""),"",IFERROR(IF(MAXIFS($C$4:C110,$B$4:B110,B111)=0,"",C111-MAXIFS($C$4:C110,$B$4:B110,B111)),""))</f>
        <v/>
      </c>
      <c r="H111" s="56">
        <f>IF(OR(G111="",G111=0,D111=""),"",D111/G111*100)</f>
        <v/>
      </c>
      <c r="I111" s="57">
        <f>IF(OR(G111="",G111=0,F111=""),"",F111/G111)</f>
        <v/>
      </c>
      <c r="J111" s="40" t="n"/>
      <c r="K111" s="40" t="n"/>
      <c r="L111" s="40" t="n"/>
    </row>
    <row r="112">
      <c r="A112" s="35" t="n"/>
      <c r="B112" s="34" t="n"/>
      <c r="C112" s="39" t="n"/>
      <c r="D112" s="53" t="n"/>
      <c r="E112" s="54" t="n"/>
      <c r="F112" s="55">
        <f>IF(OR(D112="",E112=""),"",D112*E112)</f>
        <v/>
      </c>
      <c r="G112" s="48">
        <f>IF(OR(B112="",C112=""),"",IFERROR(IF(MAXIFS($C$4:C111,$B$4:B111,B112)=0,"",C112-MAXIFS($C$4:C111,$B$4:B111,B112)),""))</f>
        <v/>
      </c>
      <c r="H112" s="56">
        <f>IF(OR(G112="",G112=0,D112=""),"",D112/G112*100)</f>
        <v/>
      </c>
      <c r="I112" s="57">
        <f>IF(OR(G112="",G112=0,F112=""),"",F112/G112)</f>
        <v/>
      </c>
      <c r="J112" s="38" t="n"/>
      <c r="K112" s="38" t="n"/>
      <c r="L112" s="38" t="n"/>
    </row>
    <row r="113">
      <c r="A113" s="33" t="n"/>
      <c r="B113" s="32" t="n"/>
      <c r="C113" s="41" t="n"/>
      <c r="D113" s="58" t="n"/>
      <c r="E113" s="59" t="n"/>
      <c r="F113" s="55">
        <f>IF(OR(D113="",E113=""),"",D113*E113)</f>
        <v/>
      </c>
      <c r="G113" s="48">
        <f>IF(OR(B113="",C113=""),"",IFERROR(IF(MAXIFS($C$4:C112,$B$4:B112,B113)=0,"",C113-MAXIFS($C$4:C112,$B$4:B112,B113)),""))</f>
        <v/>
      </c>
      <c r="H113" s="56">
        <f>IF(OR(G113="",G113=0,D113=""),"",D113/G113*100)</f>
        <v/>
      </c>
      <c r="I113" s="57">
        <f>IF(OR(G113="",G113=0,F113=""),"",F113/G113)</f>
        <v/>
      </c>
      <c r="J113" s="40" t="n"/>
      <c r="K113" s="40" t="n"/>
      <c r="L113" s="40" t="n"/>
    </row>
    <row r="114">
      <c r="A114" s="35" t="n"/>
      <c r="B114" s="34" t="n"/>
      <c r="C114" s="39" t="n"/>
      <c r="D114" s="53" t="n"/>
      <c r="E114" s="54" t="n"/>
      <c r="F114" s="55">
        <f>IF(OR(D114="",E114=""),"",D114*E114)</f>
        <v/>
      </c>
      <c r="G114" s="48">
        <f>IF(OR(B114="",C114=""),"",IFERROR(IF(MAXIFS($C$4:C113,$B$4:B113,B114)=0,"",C114-MAXIFS($C$4:C113,$B$4:B113,B114)),""))</f>
        <v/>
      </c>
      <c r="H114" s="56">
        <f>IF(OR(G114="",G114=0,D114=""),"",D114/G114*100)</f>
        <v/>
      </c>
      <c r="I114" s="57">
        <f>IF(OR(G114="",G114=0,F114=""),"",F114/G114)</f>
        <v/>
      </c>
      <c r="J114" s="38" t="n"/>
      <c r="K114" s="38" t="n"/>
      <c r="L114" s="38" t="n"/>
    </row>
    <row r="115">
      <c r="A115" s="33" t="n"/>
      <c r="B115" s="32" t="n"/>
      <c r="C115" s="41" t="n"/>
      <c r="D115" s="58" t="n"/>
      <c r="E115" s="59" t="n"/>
      <c r="F115" s="55">
        <f>IF(OR(D115="",E115=""),"",D115*E115)</f>
        <v/>
      </c>
      <c r="G115" s="48">
        <f>IF(OR(B115="",C115=""),"",IFERROR(IF(MAXIFS($C$4:C114,$B$4:B114,B115)=0,"",C115-MAXIFS($C$4:C114,$B$4:B114,B115)),""))</f>
        <v/>
      </c>
      <c r="H115" s="56">
        <f>IF(OR(G115="",G115=0,D115=""),"",D115/G115*100)</f>
        <v/>
      </c>
      <c r="I115" s="57">
        <f>IF(OR(G115="",G115=0,F115=""),"",F115/G115)</f>
        <v/>
      </c>
      <c r="J115" s="40" t="n"/>
      <c r="K115" s="40" t="n"/>
      <c r="L115" s="40" t="n"/>
    </row>
    <row r="116">
      <c r="A116" s="35" t="n"/>
      <c r="B116" s="34" t="n"/>
      <c r="C116" s="39" t="n"/>
      <c r="D116" s="53" t="n"/>
      <c r="E116" s="54" t="n"/>
      <c r="F116" s="55">
        <f>IF(OR(D116="",E116=""),"",D116*E116)</f>
        <v/>
      </c>
      <c r="G116" s="48">
        <f>IF(OR(B116="",C116=""),"",IFERROR(IF(MAXIFS($C$4:C115,$B$4:B115,B116)=0,"",C116-MAXIFS($C$4:C115,$B$4:B115,B116)),""))</f>
        <v/>
      </c>
      <c r="H116" s="56">
        <f>IF(OR(G116="",G116=0,D116=""),"",D116/G116*100)</f>
        <v/>
      </c>
      <c r="I116" s="57">
        <f>IF(OR(G116="",G116=0,F116=""),"",F116/G116)</f>
        <v/>
      </c>
      <c r="J116" s="38" t="n"/>
      <c r="K116" s="38" t="n"/>
      <c r="L116" s="38" t="n"/>
    </row>
    <row r="117">
      <c r="A117" s="33" t="n"/>
      <c r="B117" s="32" t="n"/>
      <c r="C117" s="41" t="n"/>
      <c r="D117" s="58" t="n"/>
      <c r="E117" s="59" t="n"/>
      <c r="F117" s="55">
        <f>IF(OR(D117="",E117=""),"",D117*E117)</f>
        <v/>
      </c>
      <c r="G117" s="48">
        <f>IF(OR(B117="",C117=""),"",IFERROR(IF(MAXIFS($C$4:C116,$B$4:B116,B117)=0,"",C117-MAXIFS($C$4:C116,$B$4:B116,B117)),""))</f>
        <v/>
      </c>
      <c r="H117" s="56">
        <f>IF(OR(G117="",G117=0,D117=""),"",D117/G117*100)</f>
        <v/>
      </c>
      <c r="I117" s="57">
        <f>IF(OR(G117="",G117=0,F117=""),"",F117/G117)</f>
        <v/>
      </c>
      <c r="J117" s="40" t="n"/>
      <c r="K117" s="40" t="n"/>
      <c r="L117" s="40" t="n"/>
    </row>
    <row r="118">
      <c r="A118" s="35" t="n"/>
      <c r="B118" s="34" t="n"/>
      <c r="C118" s="39" t="n"/>
      <c r="D118" s="53" t="n"/>
      <c r="E118" s="54" t="n"/>
      <c r="F118" s="55">
        <f>IF(OR(D118="",E118=""),"",D118*E118)</f>
        <v/>
      </c>
      <c r="G118" s="48">
        <f>IF(OR(B118="",C118=""),"",IFERROR(IF(MAXIFS($C$4:C117,$B$4:B117,B118)=0,"",C118-MAXIFS($C$4:C117,$B$4:B117,B118)),""))</f>
        <v/>
      </c>
      <c r="H118" s="56">
        <f>IF(OR(G118="",G118=0,D118=""),"",D118/G118*100)</f>
        <v/>
      </c>
      <c r="I118" s="57">
        <f>IF(OR(G118="",G118=0,F118=""),"",F118/G118)</f>
        <v/>
      </c>
      <c r="J118" s="38" t="n"/>
      <c r="K118" s="38" t="n"/>
      <c r="L118" s="38" t="n"/>
    </row>
    <row r="119">
      <c r="A119" s="33" t="n"/>
      <c r="B119" s="32" t="n"/>
      <c r="C119" s="41" t="n"/>
      <c r="D119" s="58" t="n"/>
      <c r="E119" s="59" t="n"/>
      <c r="F119" s="55">
        <f>IF(OR(D119="",E119=""),"",D119*E119)</f>
        <v/>
      </c>
      <c r="G119" s="48">
        <f>IF(OR(B119="",C119=""),"",IFERROR(IF(MAXIFS($C$4:C118,$B$4:B118,B119)=0,"",C119-MAXIFS($C$4:C118,$B$4:B118,B119)),""))</f>
        <v/>
      </c>
      <c r="H119" s="56">
        <f>IF(OR(G119="",G119=0,D119=""),"",D119/G119*100)</f>
        <v/>
      </c>
      <c r="I119" s="57">
        <f>IF(OR(G119="",G119=0,F119=""),"",F119/G119)</f>
        <v/>
      </c>
      <c r="J119" s="40" t="n"/>
      <c r="K119" s="40" t="n"/>
      <c r="L119" s="40" t="n"/>
    </row>
    <row r="120">
      <c r="A120" s="35" t="n"/>
      <c r="B120" s="34" t="n"/>
      <c r="C120" s="39" t="n"/>
      <c r="D120" s="53" t="n"/>
      <c r="E120" s="54" t="n"/>
      <c r="F120" s="55">
        <f>IF(OR(D120="",E120=""),"",D120*E120)</f>
        <v/>
      </c>
      <c r="G120" s="48">
        <f>IF(OR(B120="",C120=""),"",IFERROR(IF(MAXIFS($C$4:C119,$B$4:B119,B120)=0,"",C120-MAXIFS($C$4:C119,$B$4:B119,B120)),""))</f>
        <v/>
      </c>
      <c r="H120" s="56">
        <f>IF(OR(G120="",G120=0,D120=""),"",D120/G120*100)</f>
        <v/>
      </c>
      <c r="I120" s="57">
        <f>IF(OR(G120="",G120=0,F120=""),"",F120/G120)</f>
        <v/>
      </c>
      <c r="J120" s="38" t="n"/>
      <c r="K120" s="38" t="n"/>
      <c r="L120" s="38" t="n"/>
    </row>
    <row r="121">
      <c r="A121" s="33" t="n"/>
      <c r="B121" s="32" t="n"/>
      <c r="C121" s="41" t="n"/>
      <c r="D121" s="58" t="n"/>
      <c r="E121" s="59" t="n"/>
      <c r="F121" s="55">
        <f>IF(OR(D121="",E121=""),"",D121*E121)</f>
        <v/>
      </c>
      <c r="G121" s="48">
        <f>IF(OR(B121="",C121=""),"",IFERROR(IF(MAXIFS($C$4:C120,$B$4:B120,B121)=0,"",C121-MAXIFS($C$4:C120,$B$4:B120,B121)),""))</f>
        <v/>
      </c>
      <c r="H121" s="56">
        <f>IF(OR(G121="",G121=0,D121=""),"",D121/G121*100)</f>
        <v/>
      </c>
      <c r="I121" s="57">
        <f>IF(OR(G121="",G121=0,F121=""),"",F121/G121)</f>
        <v/>
      </c>
      <c r="J121" s="40" t="n"/>
      <c r="K121" s="40" t="n"/>
      <c r="L121" s="40" t="n"/>
    </row>
    <row r="122">
      <c r="A122" s="35" t="n"/>
      <c r="B122" s="34" t="n"/>
      <c r="C122" s="39" t="n"/>
      <c r="D122" s="53" t="n"/>
      <c r="E122" s="54" t="n"/>
      <c r="F122" s="55">
        <f>IF(OR(D122="",E122=""),"",D122*E122)</f>
        <v/>
      </c>
      <c r="G122" s="48">
        <f>IF(OR(B122="",C122=""),"",IFERROR(IF(MAXIFS($C$4:C121,$B$4:B121,B122)=0,"",C122-MAXIFS($C$4:C121,$B$4:B121,B122)),""))</f>
        <v/>
      </c>
      <c r="H122" s="56">
        <f>IF(OR(G122="",G122=0,D122=""),"",D122/G122*100)</f>
        <v/>
      </c>
      <c r="I122" s="57">
        <f>IF(OR(G122="",G122=0,F122=""),"",F122/G122)</f>
        <v/>
      </c>
      <c r="J122" s="38" t="n"/>
      <c r="K122" s="38" t="n"/>
      <c r="L122" s="38" t="n"/>
    </row>
    <row r="123">
      <c r="A123" s="33" t="n"/>
      <c r="B123" s="32" t="n"/>
      <c r="C123" s="41" t="n"/>
      <c r="D123" s="58" t="n"/>
      <c r="E123" s="59" t="n"/>
      <c r="F123" s="55">
        <f>IF(OR(D123="",E123=""),"",D123*E123)</f>
        <v/>
      </c>
      <c r="G123" s="48">
        <f>IF(OR(B123="",C123=""),"",IFERROR(IF(MAXIFS($C$4:C122,$B$4:B122,B123)=0,"",C123-MAXIFS($C$4:C122,$B$4:B122,B123)),""))</f>
        <v/>
      </c>
      <c r="H123" s="56">
        <f>IF(OR(G123="",G123=0,D123=""),"",D123/G123*100)</f>
        <v/>
      </c>
      <c r="I123" s="57">
        <f>IF(OR(G123="",G123=0,F123=""),"",F123/G123)</f>
        <v/>
      </c>
      <c r="J123" s="40" t="n"/>
      <c r="K123" s="40" t="n"/>
      <c r="L123" s="40" t="n"/>
    </row>
    <row r="124">
      <c r="A124" s="35" t="n"/>
      <c r="B124" s="34" t="n"/>
      <c r="C124" s="39" t="n"/>
      <c r="D124" s="53" t="n"/>
      <c r="E124" s="54" t="n"/>
      <c r="F124" s="55">
        <f>IF(OR(D124="",E124=""),"",D124*E124)</f>
        <v/>
      </c>
      <c r="G124" s="48">
        <f>IF(OR(B124="",C124=""),"",IFERROR(IF(MAXIFS($C$4:C123,$B$4:B123,B124)=0,"",C124-MAXIFS($C$4:C123,$B$4:B123,B124)),""))</f>
        <v/>
      </c>
      <c r="H124" s="56">
        <f>IF(OR(G124="",G124=0,D124=""),"",D124/G124*100)</f>
        <v/>
      </c>
      <c r="I124" s="57">
        <f>IF(OR(G124="",G124=0,F124=""),"",F124/G124)</f>
        <v/>
      </c>
      <c r="J124" s="38" t="n"/>
      <c r="K124" s="38" t="n"/>
      <c r="L124" s="38" t="n"/>
    </row>
    <row r="125">
      <c r="A125" s="33" t="n"/>
      <c r="B125" s="32" t="n"/>
      <c r="C125" s="41" t="n"/>
      <c r="D125" s="58" t="n"/>
      <c r="E125" s="59" t="n"/>
      <c r="F125" s="55">
        <f>IF(OR(D125="",E125=""),"",D125*E125)</f>
        <v/>
      </c>
      <c r="G125" s="48">
        <f>IF(OR(B125="",C125=""),"",IFERROR(IF(MAXIFS($C$4:C124,$B$4:B124,B125)=0,"",C125-MAXIFS($C$4:C124,$B$4:B124,B125)),""))</f>
        <v/>
      </c>
      <c r="H125" s="56">
        <f>IF(OR(G125="",G125=0,D125=""),"",D125/G125*100)</f>
        <v/>
      </c>
      <c r="I125" s="57">
        <f>IF(OR(G125="",G125=0,F125=""),"",F125/G125)</f>
        <v/>
      </c>
      <c r="J125" s="40" t="n"/>
      <c r="K125" s="40" t="n"/>
      <c r="L125" s="40" t="n"/>
    </row>
    <row r="126">
      <c r="A126" s="35" t="n"/>
      <c r="B126" s="34" t="n"/>
      <c r="C126" s="39" t="n"/>
      <c r="D126" s="53" t="n"/>
      <c r="E126" s="54" t="n"/>
      <c r="F126" s="55">
        <f>IF(OR(D126="",E126=""),"",D126*E126)</f>
        <v/>
      </c>
      <c r="G126" s="48">
        <f>IF(OR(B126="",C126=""),"",IFERROR(IF(MAXIFS($C$4:C125,$B$4:B125,B126)=0,"",C126-MAXIFS($C$4:C125,$B$4:B125,B126)),""))</f>
        <v/>
      </c>
      <c r="H126" s="56">
        <f>IF(OR(G126="",G126=0,D126=""),"",D126/G126*100)</f>
        <v/>
      </c>
      <c r="I126" s="57">
        <f>IF(OR(G126="",G126=0,F126=""),"",F126/G126)</f>
        <v/>
      </c>
      <c r="J126" s="38" t="n"/>
      <c r="K126" s="38" t="n"/>
      <c r="L126" s="38" t="n"/>
    </row>
    <row r="127">
      <c r="A127" s="33" t="n"/>
      <c r="B127" s="32" t="n"/>
      <c r="C127" s="41" t="n"/>
      <c r="D127" s="58" t="n"/>
      <c r="E127" s="59" t="n"/>
      <c r="F127" s="55">
        <f>IF(OR(D127="",E127=""),"",D127*E127)</f>
        <v/>
      </c>
      <c r="G127" s="48">
        <f>IF(OR(B127="",C127=""),"",IFERROR(IF(MAXIFS($C$4:C126,$B$4:B126,B127)=0,"",C127-MAXIFS($C$4:C126,$B$4:B126,B127)),""))</f>
        <v/>
      </c>
      <c r="H127" s="56">
        <f>IF(OR(G127="",G127=0,D127=""),"",D127/G127*100)</f>
        <v/>
      </c>
      <c r="I127" s="57">
        <f>IF(OR(G127="",G127=0,F127=""),"",F127/G127)</f>
        <v/>
      </c>
      <c r="J127" s="40" t="n"/>
      <c r="K127" s="40" t="n"/>
      <c r="L127" s="40" t="n"/>
    </row>
    <row r="128">
      <c r="A128" s="35" t="n"/>
      <c r="B128" s="34" t="n"/>
      <c r="C128" s="39" t="n"/>
      <c r="D128" s="53" t="n"/>
      <c r="E128" s="54" t="n"/>
      <c r="F128" s="55">
        <f>IF(OR(D128="",E128=""),"",D128*E128)</f>
        <v/>
      </c>
      <c r="G128" s="48">
        <f>IF(OR(B128="",C128=""),"",IFERROR(IF(MAXIFS($C$4:C127,$B$4:B127,B128)=0,"",C128-MAXIFS($C$4:C127,$B$4:B127,B128)),""))</f>
        <v/>
      </c>
      <c r="H128" s="56">
        <f>IF(OR(G128="",G128=0,D128=""),"",D128/G128*100)</f>
        <v/>
      </c>
      <c r="I128" s="57">
        <f>IF(OR(G128="",G128=0,F128=""),"",F128/G128)</f>
        <v/>
      </c>
      <c r="J128" s="38" t="n"/>
      <c r="K128" s="38" t="n"/>
      <c r="L128" s="38" t="n"/>
    </row>
    <row r="129">
      <c r="A129" s="33" t="n"/>
      <c r="B129" s="32" t="n"/>
      <c r="C129" s="41" t="n"/>
      <c r="D129" s="58" t="n"/>
      <c r="E129" s="59" t="n"/>
      <c r="F129" s="55">
        <f>IF(OR(D129="",E129=""),"",D129*E129)</f>
        <v/>
      </c>
      <c r="G129" s="48">
        <f>IF(OR(B129="",C129=""),"",IFERROR(IF(MAXIFS($C$4:C128,$B$4:B128,B129)=0,"",C129-MAXIFS($C$4:C128,$B$4:B128,B129)),""))</f>
        <v/>
      </c>
      <c r="H129" s="56">
        <f>IF(OR(G129="",G129=0,D129=""),"",D129/G129*100)</f>
        <v/>
      </c>
      <c r="I129" s="57">
        <f>IF(OR(G129="",G129=0,F129=""),"",F129/G129)</f>
        <v/>
      </c>
      <c r="J129" s="40" t="n"/>
      <c r="K129" s="40" t="n"/>
      <c r="L129" s="40" t="n"/>
    </row>
    <row r="130">
      <c r="A130" s="35" t="n"/>
      <c r="B130" s="34" t="n"/>
      <c r="C130" s="39" t="n"/>
      <c r="D130" s="53" t="n"/>
      <c r="E130" s="54" t="n"/>
      <c r="F130" s="55">
        <f>IF(OR(D130="",E130=""),"",D130*E130)</f>
        <v/>
      </c>
      <c r="G130" s="48">
        <f>IF(OR(B130="",C130=""),"",IFERROR(IF(MAXIFS($C$4:C129,$B$4:B129,B130)=0,"",C130-MAXIFS($C$4:C129,$B$4:B129,B130)),""))</f>
        <v/>
      </c>
      <c r="H130" s="56">
        <f>IF(OR(G130="",G130=0,D130=""),"",D130/G130*100)</f>
        <v/>
      </c>
      <c r="I130" s="57">
        <f>IF(OR(G130="",G130=0,F130=""),"",F130/G130)</f>
        <v/>
      </c>
      <c r="J130" s="38" t="n"/>
      <c r="K130" s="38" t="n"/>
      <c r="L130" s="38" t="n"/>
    </row>
    <row r="131">
      <c r="A131" s="33" t="n"/>
      <c r="B131" s="32" t="n"/>
      <c r="C131" s="41" t="n"/>
      <c r="D131" s="58" t="n"/>
      <c r="E131" s="59" t="n"/>
      <c r="F131" s="55">
        <f>IF(OR(D131="",E131=""),"",D131*E131)</f>
        <v/>
      </c>
      <c r="G131" s="48">
        <f>IF(OR(B131="",C131=""),"",IFERROR(IF(MAXIFS($C$4:C130,$B$4:B130,B131)=0,"",C131-MAXIFS($C$4:C130,$B$4:B130,B131)),""))</f>
        <v/>
      </c>
      <c r="H131" s="56">
        <f>IF(OR(G131="",G131=0,D131=""),"",D131/G131*100)</f>
        <v/>
      </c>
      <c r="I131" s="57">
        <f>IF(OR(G131="",G131=0,F131=""),"",F131/G131)</f>
        <v/>
      </c>
      <c r="J131" s="40" t="n"/>
      <c r="K131" s="40" t="n"/>
      <c r="L131" s="40" t="n"/>
    </row>
    <row r="132">
      <c r="A132" s="35" t="n"/>
      <c r="B132" s="34" t="n"/>
      <c r="C132" s="39" t="n"/>
      <c r="D132" s="53" t="n"/>
      <c r="E132" s="54" t="n"/>
      <c r="F132" s="55">
        <f>IF(OR(D132="",E132=""),"",D132*E132)</f>
        <v/>
      </c>
      <c r="G132" s="48">
        <f>IF(OR(B132="",C132=""),"",IFERROR(IF(MAXIFS($C$4:C131,$B$4:B131,B132)=0,"",C132-MAXIFS($C$4:C131,$B$4:B131,B132)),""))</f>
        <v/>
      </c>
      <c r="H132" s="56">
        <f>IF(OR(G132="",G132=0,D132=""),"",D132/G132*100)</f>
        <v/>
      </c>
      <c r="I132" s="57">
        <f>IF(OR(G132="",G132=0,F132=""),"",F132/G132)</f>
        <v/>
      </c>
      <c r="J132" s="38" t="n"/>
      <c r="K132" s="38" t="n"/>
      <c r="L132" s="38" t="n"/>
    </row>
    <row r="133">
      <c r="A133" s="33" t="n"/>
      <c r="B133" s="32" t="n"/>
      <c r="C133" s="41" t="n"/>
      <c r="D133" s="58" t="n"/>
      <c r="E133" s="59" t="n"/>
      <c r="F133" s="55">
        <f>IF(OR(D133="",E133=""),"",D133*E133)</f>
        <v/>
      </c>
      <c r="G133" s="48">
        <f>IF(OR(B133="",C133=""),"",IFERROR(IF(MAXIFS($C$4:C132,$B$4:B132,B133)=0,"",C133-MAXIFS($C$4:C132,$B$4:B132,B133)),""))</f>
        <v/>
      </c>
      <c r="H133" s="56">
        <f>IF(OR(G133="",G133=0,D133=""),"",D133/G133*100)</f>
        <v/>
      </c>
      <c r="I133" s="57">
        <f>IF(OR(G133="",G133=0,F133=""),"",F133/G133)</f>
        <v/>
      </c>
      <c r="J133" s="40" t="n"/>
      <c r="K133" s="40" t="n"/>
      <c r="L133" s="40" t="n"/>
    </row>
    <row r="134">
      <c r="A134" s="35" t="n"/>
      <c r="B134" s="34" t="n"/>
      <c r="C134" s="39" t="n"/>
      <c r="D134" s="53" t="n"/>
      <c r="E134" s="54" t="n"/>
      <c r="F134" s="55">
        <f>IF(OR(D134="",E134=""),"",D134*E134)</f>
        <v/>
      </c>
      <c r="G134" s="48">
        <f>IF(OR(B134="",C134=""),"",IFERROR(IF(MAXIFS($C$4:C133,$B$4:B133,B134)=0,"",C134-MAXIFS($C$4:C133,$B$4:B133,B134)),""))</f>
        <v/>
      </c>
      <c r="H134" s="56">
        <f>IF(OR(G134="",G134=0,D134=""),"",D134/G134*100)</f>
        <v/>
      </c>
      <c r="I134" s="57">
        <f>IF(OR(G134="",G134=0,F134=""),"",F134/G134)</f>
        <v/>
      </c>
      <c r="J134" s="38" t="n"/>
      <c r="K134" s="38" t="n"/>
      <c r="L134" s="38" t="n"/>
    </row>
    <row r="135">
      <c r="A135" s="33" t="n"/>
      <c r="B135" s="32" t="n"/>
      <c r="C135" s="41" t="n"/>
      <c r="D135" s="58" t="n"/>
      <c r="E135" s="59" t="n"/>
      <c r="F135" s="55">
        <f>IF(OR(D135="",E135=""),"",D135*E135)</f>
        <v/>
      </c>
      <c r="G135" s="48">
        <f>IF(OR(B135="",C135=""),"",IFERROR(IF(MAXIFS($C$4:C134,$B$4:B134,B135)=0,"",C135-MAXIFS($C$4:C134,$B$4:B134,B135)),""))</f>
        <v/>
      </c>
      <c r="H135" s="56">
        <f>IF(OR(G135="",G135=0,D135=""),"",D135/G135*100)</f>
        <v/>
      </c>
      <c r="I135" s="57">
        <f>IF(OR(G135="",G135=0,F135=""),"",F135/G135)</f>
        <v/>
      </c>
      <c r="J135" s="40" t="n"/>
      <c r="K135" s="40" t="n"/>
      <c r="L135" s="40" t="n"/>
    </row>
    <row r="136">
      <c r="A136" s="35" t="n"/>
      <c r="B136" s="34" t="n"/>
      <c r="C136" s="39" t="n"/>
      <c r="D136" s="53" t="n"/>
      <c r="E136" s="54" t="n"/>
      <c r="F136" s="55">
        <f>IF(OR(D136="",E136=""),"",D136*E136)</f>
        <v/>
      </c>
      <c r="G136" s="48">
        <f>IF(OR(B136="",C136=""),"",IFERROR(IF(MAXIFS($C$4:C135,$B$4:B135,B136)=0,"",C136-MAXIFS($C$4:C135,$B$4:B135,B136)),""))</f>
        <v/>
      </c>
      <c r="H136" s="56">
        <f>IF(OR(G136="",G136=0,D136=""),"",D136/G136*100)</f>
        <v/>
      </c>
      <c r="I136" s="57">
        <f>IF(OR(G136="",G136=0,F136=""),"",F136/G136)</f>
        <v/>
      </c>
      <c r="J136" s="38" t="n"/>
      <c r="K136" s="38" t="n"/>
      <c r="L136" s="38" t="n"/>
    </row>
    <row r="137">
      <c r="A137" s="33" t="n"/>
      <c r="B137" s="32" t="n"/>
      <c r="C137" s="41" t="n"/>
      <c r="D137" s="58" t="n"/>
      <c r="E137" s="59" t="n"/>
      <c r="F137" s="55">
        <f>IF(OR(D137="",E137=""),"",D137*E137)</f>
        <v/>
      </c>
      <c r="G137" s="48">
        <f>IF(OR(B137="",C137=""),"",IFERROR(IF(MAXIFS($C$4:C136,$B$4:B136,B137)=0,"",C137-MAXIFS($C$4:C136,$B$4:B136,B137)),""))</f>
        <v/>
      </c>
      <c r="H137" s="56">
        <f>IF(OR(G137="",G137=0,D137=""),"",D137/G137*100)</f>
        <v/>
      </c>
      <c r="I137" s="57">
        <f>IF(OR(G137="",G137=0,F137=""),"",F137/G137)</f>
        <v/>
      </c>
      <c r="J137" s="40" t="n"/>
      <c r="K137" s="40" t="n"/>
      <c r="L137" s="40" t="n"/>
    </row>
    <row r="138">
      <c r="A138" s="35" t="n"/>
      <c r="B138" s="34" t="n"/>
      <c r="C138" s="39" t="n"/>
      <c r="D138" s="53" t="n"/>
      <c r="E138" s="54" t="n"/>
      <c r="F138" s="55">
        <f>IF(OR(D138="",E138=""),"",D138*E138)</f>
        <v/>
      </c>
      <c r="G138" s="48">
        <f>IF(OR(B138="",C138=""),"",IFERROR(IF(MAXIFS($C$4:C137,$B$4:B137,B138)=0,"",C138-MAXIFS($C$4:C137,$B$4:B137,B138)),""))</f>
        <v/>
      </c>
      <c r="H138" s="56">
        <f>IF(OR(G138="",G138=0,D138=""),"",D138/G138*100)</f>
        <v/>
      </c>
      <c r="I138" s="57">
        <f>IF(OR(G138="",G138=0,F138=""),"",F138/G138)</f>
        <v/>
      </c>
      <c r="J138" s="38" t="n"/>
      <c r="K138" s="38" t="n"/>
      <c r="L138" s="38" t="n"/>
    </row>
    <row r="139">
      <c r="A139" s="33" t="n"/>
      <c r="B139" s="32" t="n"/>
      <c r="C139" s="41" t="n"/>
      <c r="D139" s="58" t="n"/>
      <c r="E139" s="59" t="n"/>
      <c r="F139" s="55">
        <f>IF(OR(D139="",E139=""),"",D139*E139)</f>
        <v/>
      </c>
      <c r="G139" s="48">
        <f>IF(OR(B139="",C139=""),"",IFERROR(IF(MAXIFS($C$4:C138,$B$4:B138,B139)=0,"",C139-MAXIFS($C$4:C138,$B$4:B138,B139)),""))</f>
        <v/>
      </c>
      <c r="H139" s="56">
        <f>IF(OR(G139="",G139=0,D139=""),"",D139/G139*100)</f>
        <v/>
      </c>
      <c r="I139" s="57">
        <f>IF(OR(G139="",G139=0,F139=""),"",F139/G139)</f>
        <v/>
      </c>
      <c r="J139" s="40" t="n"/>
      <c r="K139" s="40" t="n"/>
      <c r="L139" s="40" t="n"/>
    </row>
    <row r="140">
      <c r="A140" s="35" t="n"/>
      <c r="B140" s="34" t="n"/>
      <c r="C140" s="39" t="n"/>
      <c r="D140" s="53" t="n"/>
      <c r="E140" s="54" t="n"/>
      <c r="F140" s="55">
        <f>IF(OR(D140="",E140=""),"",D140*E140)</f>
        <v/>
      </c>
      <c r="G140" s="48">
        <f>IF(OR(B140="",C140=""),"",IFERROR(IF(MAXIFS($C$4:C139,$B$4:B139,B140)=0,"",C140-MAXIFS($C$4:C139,$B$4:B139,B140)),""))</f>
        <v/>
      </c>
      <c r="H140" s="56">
        <f>IF(OR(G140="",G140=0,D140=""),"",D140/G140*100)</f>
        <v/>
      </c>
      <c r="I140" s="57">
        <f>IF(OR(G140="",G140=0,F140=""),"",F140/G140)</f>
        <v/>
      </c>
      <c r="J140" s="38" t="n"/>
      <c r="K140" s="38" t="n"/>
      <c r="L140" s="38" t="n"/>
    </row>
    <row r="141">
      <c r="A141" s="33" t="n"/>
      <c r="B141" s="32" t="n"/>
      <c r="C141" s="41" t="n"/>
      <c r="D141" s="58" t="n"/>
      <c r="E141" s="59" t="n"/>
      <c r="F141" s="55">
        <f>IF(OR(D141="",E141=""),"",D141*E141)</f>
        <v/>
      </c>
      <c r="G141" s="48">
        <f>IF(OR(B141="",C141=""),"",IFERROR(IF(MAXIFS($C$4:C140,$B$4:B140,B141)=0,"",C141-MAXIFS($C$4:C140,$B$4:B140,B141)),""))</f>
        <v/>
      </c>
      <c r="H141" s="56">
        <f>IF(OR(G141="",G141=0,D141=""),"",D141/G141*100)</f>
        <v/>
      </c>
      <c r="I141" s="57">
        <f>IF(OR(G141="",G141=0,F141=""),"",F141/G141)</f>
        <v/>
      </c>
      <c r="J141" s="40" t="n"/>
      <c r="K141" s="40" t="n"/>
      <c r="L141" s="40" t="n"/>
    </row>
    <row r="142">
      <c r="A142" s="35" t="n"/>
      <c r="B142" s="34" t="n"/>
      <c r="C142" s="39" t="n"/>
      <c r="D142" s="53" t="n"/>
      <c r="E142" s="54" t="n"/>
      <c r="F142" s="55">
        <f>IF(OR(D142="",E142=""),"",D142*E142)</f>
        <v/>
      </c>
      <c r="G142" s="48">
        <f>IF(OR(B142="",C142=""),"",IFERROR(IF(MAXIFS($C$4:C141,$B$4:B141,B142)=0,"",C142-MAXIFS($C$4:C141,$B$4:B141,B142)),""))</f>
        <v/>
      </c>
      <c r="H142" s="56">
        <f>IF(OR(G142="",G142=0,D142=""),"",D142/G142*100)</f>
        <v/>
      </c>
      <c r="I142" s="57">
        <f>IF(OR(G142="",G142=0,F142=""),"",F142/G142)</f>
        <v/>
      </c>
      <c r="J142" s="38" t="n"/>
      <c r="K142" s="38" t="n"/>
      <c r="L142" s="38" t="n"/>
    </row>
    <row r="143">
      <c r="A143" s="33" t="n"/>
      <c r="B143" s="32" t="n"/>
      <c r="C143" s="41" t="n"/>
      <c r="D143" s="58" t="n"/>
      <c r="E143" s="59" t="n"/>
      <c r="F143" s="55">
        <f>IF(OR(D143="",E143=""),"",D143*E143)</f>
        <v/>
      </c>
      <c r="G143" s="48">
        <f>IF(OR(B143="",C143=""),"",IFERROR(IF(MAXIFS($C$4:C142,$B$4:B142,B143)=0,"",C143-MAXIFS($C$4:C142,$B$4:B142,B143)),""))</f>
        <v/>
      </c>
      <c r="H143" s="56">
        <f>IF(OR(G143="",G143=0,D143=""),"",D143/G143*100)</f>
        <v/>
      </c>
      <c r="I143" s="57">
        <f>IF(OR(G143="",G143=0,F143=""),"",F143/G143)</f>
        <v/>
      </c>
      <c r="J143" s="40" t="n"/>
      <c r="K143" s="40" t="n"/>
      <c r="L143" s="40" t="n"/>
    </row>
    <row r="144">
      <c r="A144" s="35" t="n"/>
      <c r="B144" s="34" t="n"/>
      <c r="C144" s="39" t="n"/>
      <c r="D144" s="53" t="n"/>
      <c r="E144" s="54" t="n"/>
      <c r="F144" s="55">
        <f>IF(OR(D144="",E144=""),"",D144*E144)</f>
        <v/>
      </c>
      <c r="G144" s="48">
        <f>IF(OR(B144="",C144=""),"",IFERROR(IF(MAXIFS($C$4:C143,$B$4:B143,B144)=0,"",C144-MAXIFS($C$4:C143,$B$4:B143,B144)),""))</f>
        <v/>
      </c>
      <c r="H144" s="56">
        <f>IF(OR(G144="",G144=0,D144=""),"",D144/G144*100)</f>
        <v/>
      </c>
      <c r="I144" s="57">
        <f>IF(OR(G144="",G144=0,F144=""),"",F144/G144)</f>
        <v/>
      </c>
      <c r="J144" s="38" t="n"/>
      <c r="K144" s="38" t="n"/>
      <c r="L144" s="38" t="n"/>
    </row>
    <row r="145">
      <c r="A145" s="33" t="n"/>
      <c r="B145" s="32" t="n"/>
      <c r="C145" s="41" t="n"/>
      <c r="D145" s="58" t="n"/>
      <c r="E145" s="59" t="n"/>
      <c r="F145" s="55">
        <f>IF(OR(D145="",E145=""),"",D145*E145)</f>
        <v/>
      </c>
      <c r="G145" s="48">
        <f>IF(OR(B145="",C145=""),"",IFERROR(IF(MAXIFS($C$4:C144,$B$4:B144,B145)=0,"",C145-MAXIFS($C$4:C144,$B$4:B144,B145)),""))</f>
        <v/>
      </c>
      <c r="H145" s="56">
        <f>IF(OR(G145="",G145=0,D145=""),"",D145/G145*100)</f>
        <v/>
      </c>
      <c r="I145" s="57">
        <f>IF(OR(G145="",G145=0,F145=""),"",F145/G145)</f>
        <v/>
      </c>
      <c r="J145" s="40" t="n"/>
      <c r="K145" s="40" t="n"/>
      <c r="L145" s="40" t="n"/>
    </row>
    <row r="146">
      <c r="A146" s="35" t="n"/>
      <c r="B146" s="34" t="n"/>
      <c r="C146" s="39" t="n"/>
      <c r="D146" s="53" t="n"/>
      <c r="E146" s="54" t="n"/>
      <c r="F146" s="55">
        <f>IF(OR(D146="",E146=""),"",D146*E146)</f>
        <v/>
      </c>
      <c r="G146" s="48">
        <f>IF(OR(B146="",C146=""),"",IFERROR(IF(MAXIFS($C$4:C145,$B$4:B145,B146)=0,"",C146-MAXIFS($C$4:C145,$B$4:B145,B146)),""))</f>
        <v/>
      </c>
      <c r="H146" s="56">
        <f>IF(OR(G146="",G146=0,D146=""),"",D146/G146*100)</f>
        <v/>
      </c>
      <c r="I146" s="57">
        <f>IF(OR(G146="",G146=0,F146=""),"",F146/G146)</f>
        <v/>
      </c>
      <c r="J146" s="38" t="n"/>
      <c r="K146" s="38" t="n"/>
      <c r="L146" s="38" t="n"/>
    </row>
    <row r="147">
      <c r="A147" s="33" t="n"/>
      <c r="B147" s="32" t="n"/>
      <c r="C147" s="41" t="n"/>
      <c r="D147" s="58" t="n"/>
      <c r="E147" s="59" t="n"/>
      <c r="F147" s="55">
        <f>IF(OR(D147="",E147=""),"",D147*E147)</f>
        <v/>
      </c>
      <c r="G147" s="48">
        <f>IF(OR(B147="",C147=""),"",IFERROR(IF(MAXIFS($C$4:C146,$B$4:B146,B147)=0,"",C147-MAXIFS($C$4:C146,$B$4:B146,B147)),""))</f>
        <v/>
      </c>
      <c r="H147" s="56">
        <f>IF(OR(G147="",G147=0,D147=""),"",D147/G147*100)</f>
        <v/>
      </c>
      <c r="I147" s="57">
        <f>IF(OR(G147="",G147=0,F147=""),"",F147/G147)</f>
        <v/>
      </c>
      <c r="J147" s="40" t="n"/>
      <c r="K147" s="40" t="n"/>
      <c r="L147" s="40" t="n"/>
    </row>
    <row r="148">
      <c r="A148" s="35" t="n"/>
      <c r="B148" s="34" t="n"/>
      <c r="C148" s="39" t="n"/>
      <c r="D148" s="53" t="n"/>
      <c r="E148" s="54" t="n"/>
      <c r="F148" s="55">
        <f>IF(OR(D148="",E148=""),"",D148*E148)</f>
        <v/>
      </c>
      <c r="G148" s="48">
        <f>IF(OR(B148="",C148=""),"",IFERROR(IF(MAXIFS($C$4:C147,$B$4:B147,B148)=0,"",C148-MAXIFS($C$4:C147,$B$4:B147,B148)),""))</f>
        <v/>
      </c>
      <c r="H148" s="56">
        <f>IF(OR(G148="",G148=0,D148=""),"",D148/G148*100)</f>
        <v/>
      </c>
      <c r="I148" s="57">
        <f>IF(OR(G148="",G148=0,F148=""),"",F148/G148)</f>
        <v/>
      </c>
      <c r="J148" s="38" t="n"/>
      <c r="K148" s="38" t="n"/>
      <c r="L148" s="38" t="n"/>
    </row>
    <row r="149">
      <c r="A149" s="33" t="n"/>
      <c r="B149" s="32" t="n"/>
      <c r="C149" s="41" t="n"/>
      <c r="D149" s="58" t="n"/>
      <c r="E149" s="59" t="n"/>
      <c r="F149" s="55">
        <f>IF(OR(D149="",E149=""),"",D149*E149)</f>
        <v/>
      </c>
      <c r="G149" s="48">
        <f>IF(OR(B149="",C149=""),"",IFERROR(IF(MAXIFS($C$4:C148,$B$4:B148,B149)=0,"",C149-MAXIFS($C$4:C148,$B$4:B148,B149)),""))</f>
        <v/>
      </c>
      <c r="H149" s="56">
        <f>IF(OR(G149="",G149=0,D149=""),"",D149/G149*100)</f>
        <v/>
      </c>
      <c r="I149" s="57">
        <f>IF(OR(G149="",G149=0,F149=""),"",F149/G149)</f>
        <v/>
      </c>
      <c r="J149" s="40" t="n"/>
      <c r="K149" s="40" t="n"/>
      <c r="L149" s="40" t="n"/>
    </row>
    <row r="150">
      <c r="A150" s="35" t="n"/>
      <c r="B150" s="34" t="n"/>
      <c r="C150" s="39" t="n"/>
      <c r="D150" s="53" t="n"/>
      <c r="E150" s="54" t="n"/>
      <c r="F150" s="55">
        <f>IF(OR(D150="",E150=""),"",D150*E150)</f>
        <v/>
      </c>
      <c r="G150" s="48">
        <f>IF(OR(B150="",C150=""),"",IFERROR(IF(MAXIFS($C$4:C149,$B$4:B149,B150)=0,"",C150-MAXIFS($C$4:C149,$B$4:B149,B150)),""))</f>
        <v/>
      </c>
      <c r="H150" s="56">
        <f>IF(OR(G150="",G150=0,D150=""),"",D150/G150*100)</f>
        <v/>
      </c>
      <c r="I150" s="57">
        <f>IF(OR(G150="",G150=0,F150=""),"",F150/G150)</f>
        <v/>
      </c>
      <c r="J150" s="38" t="n"/>
      <c r="K150" s="38" t="n"/>
      <c r="L150" s="38" t="n"/>
    </row>
    <row r="151">
      <c r="A151" s="33" t="n"/>
      <c r="B151" s="32" t="n"/>
      <c r="C151" s="41" t="n"/>
      <c r="D151" s="58" t="n"/>
      <c r="E151" s="59" t="n"/>
      <c r="F151" s="55">
        <f>IF(OR(D151="",E151=""),"",D151*E151)</f>
        <v/>
      </c>
      <c r="G151" s="48">
        <f>IF(OR(B151="",C151=""),"",IFERROR(IF(MAXIFS($C$4:C150,$B$4:B150,B151)=0,"",C151-MAXIFS($C$4:C150,$B$4:B150,B151)),""))</f>
        <v/>
      </c>
      <c r="H151" s="56">
        <f>IF(OR(G151="",G151=0,D151=""),"",D151/G151*100)</f>
        <v/>
      </c>
      <c r="I151" s="57">
        <f>IF(OR(G151="",G151=0,F151=""),"",F151/G151)</f>
        <v/>
      </c>
      <c r="J151" s="40" t="n"/>
      <c r="K151" s="40" t="n"/>
      <c r="L151" s="40" t="n"/>
    </row>
    <row r="152">
      <c r="A152" s="35" t="n"/>
      <c r="B152" s="34" t="n"/>
      <c r="C152" s="39" t="n"/>
      <c r="D152" s="53" t="n"/>
      <c r="E152" s="54" t="n"/>
      <c r="F152" s="55">
        <f>IF(OR(D152="",E152=""),"",D152*E152)</f>
        <v/>
      </c>
      <c r="G152" s="48">
        <f>IF(OR(B152="",C152=""),"",IFERROR(IF(MAXIFS($C$4:C151,$B$4:B151,B152)=0,"",C152-MAXIFS($C$4:C151,$B$4:B151,B152)),""))</f>
        <v/>
      </c>
      <c r="H152" s="56">
        <f>IF(OR(G152="",G152=0,D152=""),"",D152/G152*100)</f>
        <v/>
      </c>
      <c r="I152" s="57">
        <f>IF(OR(G152="",G152=0,F152=""),"",F152/G152)</f>
        <v/>
      </c>
      <c r="J152" s="38" t="n"/>
      <c r="K152" s="38" t="n"/>
      <c r="L152" s="38" t="n"/>
    </row>
    <row r="153">
      <c r="A153" s="33" t="n"/>
      <c r="B153" s="32" t="n"/>
      <c r="C153" s="41" t="n"/>
      <c r="D153" s="58" t="n"/>
      <c r="E153" s="59" t="n"/>
      <c r="F153" s="55">
        <f>IF(OR(D153="",E153=""),"",D153*E153)</f>
        <v/>
      </c>
      <c r="G153" s="48">
        <f>IF(OR(B153="",C153=""),"",IFERROR(IF(MAXIFS($C$4:C152,$B$4:B152,B153)=0,"",C153-MAXIFS($C$4:C152,$B$4:B152,B153)),""))</f>
        <v/>
      </c>
      <c r="H153" s="56">
        <f>IF(OR(G153="",G153=0,D153=""),"",D153/G153*100)</f>
        <v/>
      </c>
      <c r="I153" s="57">
        <f>IF(OR(G153="",G153=0,F153=""),"",F153/G153)</f>
        <v/>
      </c>
      <c r="J153" s="40" t="n"/>
      <c r="K153" s="40" t="n"/>
      <c r="L153" s="40" t="n"/>
    </row>
    <row r="154">
      <c r="A154" s="35" t="n"/>
      <c r="B154" s="34" t="n"/>
      <c r="C154" s="39" t="n"/>
      <c r="D154" s="53" t="n"/>
      <c r="E154" s="54" t="n"/>
      <c r="F154" s="55">
        <f>IF(OR(D154="",E154=""),"",D154*E154)</f>
        <v/>
      </c>
      <c r="G154" s="48">
        <f>IF(OR(B154="",C154=""),"",IFERROR(IF(MAXIFS($C$4:C153,$B$4:B153,B154)=0,"",C154-MAXIFS($C$4:C153,$B$4:B153,B154)),""))</f>
        <v/>
      </c>
      <c r="H154" s="56">
        <f>IF(OR(G154="",G154=0,D154=""),"",D154/G154*100)</f>
        <v/>
      </c>
      <c r="I154" s="57">
        <f>IF(OR(G154="",G154=0,F154=""),"",F154/G154)</f>
        <v/>
      </c>
      <c r="J154" s="38" t="n"/>
      <c r="K154" s="38" t="n"/>
      <c r="L154" s="38" t="n"/>
    </row>
    <row r="155">
      <c r="A155" s="33" t="n"/>
      <c r="B155" s="32" t="n"/>
      <c r="C155" s="41" t="n"/>
      <c r="D155" s="58" t="n"/>
      <c r="E155" s="59" t="n"/>
      <c r="F155" s="55">
        <f>IF(OR(D155="",E155=""),"",D155*E155)</f>
        <v/>
      </c>
      <c r="G155" s="48">
        <f>IF(OR(B155="",C155=""),"",IFERROR(IF(MAXIFS($C$4:C154,$B$4:B154,B155)=0,"",C155-MAXIFS($C$4:C154,$B$4:B154,B155)),""))</f>
        <v/>
      </c>
      <c r="H155" s="56">
        <f>IF(OR(G155="",G155=0,D155=""),"",D155/G155*100)</f>
        <v/>
      </c>
      <c r="I155" s="57">
        <f>IF(OR(G155="",G155=0,F155=""),"",F155/G155)</f>
        <v/>
      </c>
      <c r="J155" s="40" t="n"/>
      <c r="K155" s="40" t="n"/>
      <c r="L155" s="40" t="n"/>
    </row>
    <row r="156">
      <c r="A156" s="35" t="n"/>
      <c r="B156" s="34" t="n"/>
      <c r="C156" s="39" t="n"/>
      <c r="D156" s="53" t="n"/>
      <c r="E156" s="54" t="n"/>
      <c r="F156" s="55">
        <f>IF(OR(D156="",E156=""),"",D156*E156)</f>
        <v/>
      </c>
      <c r="G156" s="48">
        <f>IF(OR(B156="",C156=""),"",IFERROR(IF(MAXIFS($C$4:C155,$B$4:B155,B156)=0,"",C156-MAXIFS($C$4:C155,$B$4:B155,B156)),""))</f>
        <v/>
      </c>
      <c r="H156" s="56">
        <f>IF(OR(G156="",G156=0,D156=""),"",D156/G156*100)</f>
        <v/>
      </c>
      <c r="I156" s="57">
        <f>IF(OR(G156="",G156=0,F156=""),"",F156/G156)</f>
        <v/>
      </c>
      <c r="J156" s="38" t="n"/>
      <c r="K156" s="38" t="n"/>
      <c r="L156" s="38" t="n"/>
    </row>
    <row r="157">
      <c r="A157" s="33" t="n"/>
      <c r="B157" s="32" t="n"/>
      <c r="C157" s="41" t="n"/>
      <c r="D157" s="58" t="n"/>
      <c r="E157" s="59" t="n"/>
      <c r="F157" s="55">
        <f>IF(OR(D157="",E157=""),"",D157*E157)</f>
        <v/>
      </c>
      <c r="G157" s="48">
        <f>IF(OR(B157="",C157=""),"",IFERROR(IF(MAXIFS($C$4:C156,$B$4:B156,B157)=0,"",C157-MAXIFS($C$4:C156,$B$4:B156,B157)),""))</f>
        <v/>
      </c>
      <c r="H157" s="56">
        <f>IF(OR(G157="",G157=0,D157=""),"",D157/G157*100)</f>
        <v/>
      </c>
      <c r="I157" s="57">
        <f>IF(OR(G157="",G157=0,F157=""),"",F157/G157)</f>
        <v/>
      </c>
      <c r="J157" s="40" t="n"/>
      <c r="K157" s="40" t="n"/>
      <c r="L157" s="40" t="n"/>
    </row>
    <row r="158">
      <c r="A158" s="35" t="n"/>
      <c r="B158" s="34" t="n"/>
      <c r="C158" s="39" t="n"/>
      <c r="D158" s="53" t="n"/>
      <c r="E158" s="54" t="n"/>
      <c r="F158" s="55">
        <f>IF(OR(D158="",E158=""),"",D158*E158)</f>
        <v/>
      </c>
      <c r="G158" s="48">
        <f>IF(OR(B158="",C158=""),"",IFERROR(IF(MAXIFS($C$4:C157,$B$4:B157,B158)=0,"",C158-MAXIFS($C$4:C157,$B$4:B157,B158)),""))</f>
        <v/>
      </c>
      <c r="H158" s="56">
        <f>IF(OR(G158="",G158=0,D158=""),"",D158/G158*100)</f>
        <v/>
      </c>
      <c r="I158" s="57">
        <f>IF(OR(G158="",G158=0,F158=""),"",F158/G158)</f>
        <v/>
      </c>
      <c r="J158" s="38" t="n"/>
      <c r="K158" s="38" t="n"/>
      <c r="L158" s="38" t="n"/>
    </row>
    <row r="159">
      <c r="A159" s="33" t="n"/>
      <c r="B159" s="32" t="n"/>
      <c r="C159" s="41" t="n"/>
      <c r="D159" s="58" t="n"/>
      <c r="E159" s="59" t="n"/>
      <c r="F159" s="55">
        <f>IF(OR(D159="",E159=""),"",D159*E159)</f>
        <v/>
      </c>
      <c r="G159" s="48">
        <f>IF(OR(B159="",C159=""),"",IFERROR(IF(MAXIFS($C$4:C158,$B$4:B158,B159)=0,"",C159-MAXIFS($C$4:C158,$B$4:B158,B159)),""))</f>
        <v/>
      </c>
      <c r="H159" s="56">
        <f>IF(OR(G159="",G159=0,D159=""),"",D159/G159*100)</f>
        <v/>
      </c>
      <c r="I159" s="57">
        <f>IF(OR(G159="",G159=0,F159=""),"",F159/G159)</f>
        <v/>
      </c>
      <c r="J159" s="40" t="n"/>
      <c r="K159" s="40" t="n"/>
      <c r="L159" s="40" t="n"/>
    </row>
    <row r="160">
      <c r="A160" s="35" t="n"/>
      <c r="B160" s="34" t="n"/>
      <c r="C160" s="39" t="n"/>
      <c r="D160" s="53" t="n"/>
      <c r="E160" s="54" t="n"/>
      <c r="F160" s="55">
        <f>IF(OR(D160="",E160=""),"",D160*E160)</f>
        <v/>
      </c>
      <c r="G160" s="48">
        <f>IF(OR(B160="",C160=""),"",IFERROR(IF(MAXIFS($C$4:C159,$B$4:B159,B160)=0,"",C160-MAXIFS($C$4:C159,$B$4:B159,B160)),""))</f>
        <v/>
      </c>
      <c r="H160" s="56">
        <f>IF(OR(G160="",G160=0,D160=""),"",D160/G160*100)</f>
        <v/>
      </c>
      <c r="I160" s="57">
        <f>IF(OR(G160="",G160=0,F160=""),"",F160/G160)</f>
        <v/>
      </c>
      <c r="J160" s="38" t="n"/>
      <c r="K160" s="38" t="n"/>
      <c r="L160" s="38" t="n"/>
    </row>
    <row r="161">
      <c r="A161" s="33" t="n"/>
      <c r="B161" s="32" t="n"/>
      <c r="C161" s="41" t="n"/>
      <c r="D161" s="58" t="n"/>
      <c r="E161" s="59" t="n"/>
      <c r="F161" s="55">
        <f>IF(OR(D161="",E161=""),"",D161*E161)</f>
        <v/>
      </c>
      <c r="G161" s="48">
        <f>IF(OR(B161="",C161=""),"",IFERROR(IF(MAXIFS($C$4:C160,$B$4:B160,B161)=0,"",C161-MAXIFS($C$4:C160,$B$4:B160,B161)),""))</f>
        <v/>
      </c>
      <c r="H161" s="56">
        <f>IF(OR(G161="",G161=0,D161=""),"",D161/G161*100)</f>
        <v/>
      </c>
      <c r="I161" s="57">
        <f>IF(OR(G161="",G161=0,F161=""),"",F161/G161)</f>
        <v/>
      </c>
      <c r="J161" s="40" t="n"/>
      <c r="K161" s="40" t="n"/>
      <c r="L161" s="40" t="n"/>
    </row>
    <row r="162">
      <c r="A162" s="35" t="n"/>
      <c r="B162" s="34" t="n"/>
      <c r="C162" s="39" t="n"/>
      <c r="D162" s="53" t="n"/>
      <c r="E162" s="54" t="n"/>
      <c r="F162" s="55">
        <f>IF(OR(D162="",E162=""),"",D162*E162)</f>
        <v/>
      </c>
      <c r="G162" s="48">
        <f>IF(OR(B162="",C162=""),"",IFERROR(IF(MAXIFS($C$4:C161,$B$4:B161,B162)=0,"",C162-MAXIFS($C$4:C161,$B$4:B161,B162)),""))</f>
        <v/>
      </c>
      <c r="H162" s="56">
        <f>IF(OR(G162="",G162=0,D162=""),"",D162/G162*100)</f>
        <v/>
      </c>
      <c r="I162" s="57">
        <f>IF(OR(G162="",G162=0,F162=""),"",F162/G162)</f>
        <v/>
      </c>
      <c r="J162" s="38" t="n"/>
      <c r="K162" s="38" t="n"/>
      <c r="L162" s="38" t="n"/>
    </row>
    <row r="163">
      <c r="A163" s="33" t="n"/>
      <c r="B163" s="32" t="n"/>
      <c r="C163" s="41" t="n"/>
      <c r="D163" s="58" t="n"/>
      <c r="E163" s="59" t="n"/>
      <c r="F163" s="55">
        <f>IF(OR(D163="",E163=""),"",D163*E163)</f>
        <v/>
      </c>
      <c r="G163" s="48">
        <f>IF(OR(B163="",C163=""),"",IFERROR(IF(MAXIFS($C$4:C162,$B$4:B162,B163)=0,"",C163-MAXIFS($C$4:C162,$B$4:B162,B163)),""))</f>
        <v/>
      </c>
      <c r="H163" s="56">
        <f>IF(OR(G163="",G163=0,D163=""),"",D163/G163*100)</f>
        <v/>
      </c>
      <c r="I163" s="57">
        <f>IF(OR(G163="",G163=0,F163=""),"",F163/G163)</f>
        <v/>
      </c>
      <c r="J163" s="40" t="n"/>
      <c r="K163" s="40" t="n"/>
      <c r="L163" s="40" t="n"/>
    </row>
    <row r="164">
      <c r="A164" s="35" t="n"/>
      <c r="B164" s="34" t="n"/>
      <c r="C164" s="39" t="n"/>
      <c r="D164" s="53" t="n"/>
      <c r="E164" s="54" t="n"/>
      <c r="F164" s="55">
        <f>IF(OR(D164="",E164=""),"",D164*E164)</f>
        <v/>
      </c>
      <c r="G164" s="48">
        <f>IF(OR(B164="",C164=""),"",IFERROR(IF(MAXIFS($C$4:C163,$B$4:B163,B164)=0,"",C164-MAXIFS($C$4:C163,$B$4:B163,B164)),""))</f>
        <v/>
      </c>
      <c r="H164" s="56">
        <f>IF(OR(G164="",G164=0,D164=""),"",D164/G164*100)</f>
        <v/>
      </c>
      <c r="I164" s="57">
        <f>IF(OR(G164="",G164=0,F164=""),"",F164/G164)</f>
        <v/>
      </c>
      <c r="J164" s="38" t="n"/>
      <c r="K164" s="38" t="n"/>
      <c r="L164" s="38" t="n"/>
    </row>
    <row r="165">
      <c r="A165" s="33" t="n"/>
      <c r="B165" s="32" t="n"/>
      <c r="C165" s="41" t="n"/>
      <c r="D165" s="58" t="n"/>
      <c r="E165" s="59" t="n"/>
      <c r="F165" s="55">
        <f>IF(OR(D165="",E165=""),"",D165*E165)</f>
        <v/>
      </c>
      <c r="G165" s="48">
        <f>IF(OR(B165="",C165=""),"",IFERROR(IF(MAXIFS($C$4:C164,$B$4:B164,B165)=0,"",C165-MAXIFS($C$4:C164,$B$4:B164,B165)),""))</f>
        <v/>
      </c>
      <c r="H165" s="56">
        <f>IF(OR(G165="",G165=0,D165=""),"",D165/G165*100)</f>
        <v/>
      </c>
      <c r="I165" s="57">
        <f>IF(OR(G165="",G165=0,F165=""),"",F165/G165)</f>
        <v/>
      </c>
      <c r="J165" s="40" t="n"/>
      <c r="K165" s="40" t="n"/>
      <c r="L165" s="40" t="n"/>
    </row>
    <row r="166">
      <c r="A166" s="35" t="n"/>
      <c r="B166" s="34" t="n"/>
      <c r="C166" s="39" t="n"/>
      <c r="D166" s="53" t="n"/>
      <c r="E166" s="54" t="n"/>
      <c r="F166" s="55">
        <f>IF(OR(D166="",E166=""),"",D166*E166)</f>
        <v/>
      </c>
      <c r="G166" s="48">
        <f>IF(OR(B166="",C166=""),"",IFERROR(IF(MAXIFS($C$4:C165,$B$4:B165,B166)=0,"",C166-MAXIFS($C$4:C165,$B$4:B165,B166)),""))</f>
        <v/>
      </c>
      <c r="H166" s="56">
        <f>IF(OR(G166="",G166=0,D166=""),"",D166/G166*100)</f>
        <v/>
      </c>
      <c r="I166" s="57">
        <f>IF(OR(G166="",G166=0,F166=""),"",F166/G166)</f>
        <v/>
      </c>
      <c r="J166" s="38" t="n"/>
      <c r="K166" s="38" t="n"/>
      <c r="L166" s="38" t="n"/>
    </row>
    <row r="167">
      <c r="A167" s="33" t="n"/>
      <c r="B167" s="32" t="n"/>
      <c r="C167" s="41" t="n"/>
      <c r="D167" s="58" t="n"/>
      <c r="E167" s="59" t="n"/>
      <c r="F167" s="55">
        <f>IF(OR(D167="",E167=""),"",D167*E167)</f>
        <v/>
      </c>
      <c r="G167" s="48">
        <f>IF(OR(B167="",C167=""),"",IFERROR(IF(MAXIFS($C$4:C166,$B$4:B166,B167)=0,"",C167-MAXIFS($C$4:C166,$B$4:B166,B167)),""))</f>
        <v/>
      </c>
      <c r="H167" s="56">
        <f>IF(OR(G167="",G167=0,D167=""),"",D167/G167*100)</f>
        <v/>
      </c>
      <c r="I167" s="57">
        <f>IF(OR(G167="",G167=0,F167=""),"",F167/G167)</f>
        <v/>
      </c>
      <c r="J167" s="40" t="n"/>
      <c r="K167" s="40" t="n"/>
      <c r="L167" s="40" t="n"/>
    </row>
    <row r="168">
      <c r="A168" s="35" t="n"/>
      <c r="B168" s="34" t="n"/>
      <c r="C168" s="39" t="n"/>
      <c r="D168" s="53" t="n"/>
      <c r="E168" s="54" t="n"/>
      <c r="F168" s="55">
        <f>IF(OR(D168="",E168=""),"",D168*E168)</f>
        <v/>
      </c>
      <c r="G168" s="48">
        <f>IF(OR(B168="",C168=""),"",IFERROR(IF(MAXIFS($C$4:C167,$B$4:B167,B168)=0,"",C168-MAXIFS($C$4:C167,$B$4:B167,B168)),""))</f>
        <v/>
      </c>
      <c r="H168" s="56">
        <f>IF(OR(G168="",G168=0,D168=""),"",D168/G168*100)</f>
        <v/>
      </c>
      <c r="I168" s="57">
        <f>IF(OR(G168="",G168=0,F168=""),"",F168/G168)</f>
        <v/>
      </c>
      <c r="J168" s="38" t="n"/>
      <c r="K168" s="38" t="n"/>
      <c r="L168" s="38" t="n"/>
    </row>
    <row r="169">
      <c r="A169" s="33" t="n"/>
      <c r="B169" s="32" t="n"/>
      <c r="C169" s="41" t="n"/>
      <c r="D169" s="58" t="n"/>
      <c r="E169" s="59" t="n"/>
      <c r="F169" s="55">
        <f>IF(OR(D169="",E169=""),"",D169*E169)</f>
        <v/>
      </c>
      <c r="G169" s="48">
        <f>IF(OR(B169="",C169=""),"",IFERROR(IF(MAXIFS($C$4:C168,$B$4:B168,B169)=0,"",C169-MAXIFS($C$4:C168,$B$4:B168,B169)),""))</f>
        <v/>
      </c>
      <c r="H169" s="56">
        <f>IF(OR(G169="",G169=0,D169=""),"",D169/G169*100)</f>
        <v/>
      </c>
      <c r="I169" s="57">
        <f>IF(OR(G169="",G169=0,F169=""),"",F169/G169)</f>
        <v/>
      </c>
      <c r="J169" s="40" t="n"/>
      <c r="K169" s="40" t="n"/>
      <c r="L169" s="40" t="n"/>
    </row>
    <row r="170">
      <c r="A170" s="35" t="n"/>
      <c r="B170" s="34" t="n"/>
      <c r="C170" s="39" t="n"/>
      <c r="D170" s="53" t="n"/>
      <c r="E170" s="54" t="n"/>
      <c r="F170" s="55">
        <f>IF(OR(D170="",E170=""),"",D170*E170)</f>
        <v/>
      </c>
      <c r="G170" s="48">
        <f>IF(OR(B170="",C170=""),"",IFERROR(IF(MAXIFS($C$4:C169,$B$4:B169,B170)=0,"",C170-MAXIFS($C$4:C169,$B$4:B169,B170)),""))</f>
        <v/>
      </c>
      <c r="H170" s="56">
        <f>IF(OR(G170="",G170=0,D170=""),"",D170/G170*100)</f>
        <v/>
      </c>
      <c r="I170" s="57">
        <f>IF(OR(G170="",G170=0,F170=""),"",F170/G170)</f>
        <v/>
      </c>
      <c r="J170" s="38" t="n"/>
      <c r="K170" s="38" t="n"/>
      <c r="L170" s="38" t="n"/>
    </row>
    <row r="171">
      <c r="A171" s="33" t="n"/>
      <c r="B171" s="32" t="n"/>
      <c r="C171" s="41" t="n"/>
      <c r="D171" s="58" t="n"/>
      <c r="E171" s="59" t="n"/>
      <c r="F171" s="55">
        <f>IF(OR(D171="",E171=""),"",D171*E171)</f>
        <v/>
      </c>
      <c r="G171" s="48">
        <f>IF(OR(B171="",C171=""),"",IFERROR(IF(MAXIFS($C$4:C170,$B$4:B170,B171)=0,"",C171-MAXIFS($C$4:C170,$B$4:B170,B171)),""))</f>
        <v/>
      </c>
      <c r="H171" s="56">
        <f>IF(OR(G171="",G171=0,D171=""),"",D171/G171*100)</f>
        <v/>
      </c>
      <c r="I171" s="57">
        <f>IF(OR(G171="",G171=0,F171=""),"",F171/G171)</f>
        <v/>
      </c>
      <c r="J171" s="40" t="n"/>
      <c r="K171" s="40" t="n"/>
      <c r="L171" s="40" t="n"/>
    </row>
    <row r="172">
      <c r="A172" s="35" t="n"/>
      <c r="B172" s="34" t="n"/>
      <c r="C172" s="39" t="n"/>
      <c r="D172" s="53" t="n"/>
      <c r="E172" s="54" t="n"/>
      <c r="F172" s="55">
        <f>IF(OR(D172="",E172=""),"",D172*E172)</f>
        <v/>
      </c>
      <c r="G172" s="48">
        <f>IF(OR(B172="",C172=""),"",IFERROR(IF(MAXIFS($C$4:C171,$B$4:B171,B172)=0,"",C172-MAXIFS($C$4:C171,$B$4:B171,B172)),""))</f>
        <v/>
      </c>
      <c r="H172" s="56">
        <f>IF(OR(G172="",G172=0,D172=""),"",D172/G172*100)</f>
        <v/>
      </c>
      <c r="I172" s="57">
        <f>IF(OR(G172="",G172=0,F172=""),"",F172/G172)</f>
        <v/>
      </c>
      <c r="J172" s="38" t="n"/>
      <c r="K172" s="38" t="n"/>
      <c r="L172" s="38" t="n"/>
    </row>
    <row r="173">
      <c r="A173" s="33" t="n"/>
      <c r="B173" s="32" t="n"/>
      <c r="C173" s="41" t="n"/>
      <c r="D173" s="58" t="n"/>
      <c r="E173" s="59" t="n"/>
      <c r="F173" s="55">
        <f>IF(OR(D173="",E173=""),"",D173*E173)</f>
        <v/>
      </c>
      <c r="G173" s="48">
        <f>IF(OR(B173="",C173=""),"",IFERROR(IF(MAXIFS($C$4:C172,$B$4:B172,B173)=0,"",C173-MAXIFS($C$4:C172,$B$4:B172,B173)),""))</f>
        <v/>
      </c>
      <c r="H173" s="56">
        <f>IF(OR(G173="",G173=0,D173=""),"",D173/G173*100)</f>
        <v/>
      </c>
      <c r="I173" s="57">
        <f>IF(OR(G173="",G173=0,F173=""),"",F173/G173)</f>
        <v/>
      </c>
      <c r="J173" s="40" t="n"/>
      <c r="K173" s="40" t="n"/>
      <c r="L173" s="40" t="n"/>
    </row>
    <row r="174">
      <c r="A174" s="35" t="n"/>
      <c r="B174" s="34" t="n"/>
      <c r="C174" s="39" t="n"/>
      <c r="D174" s="53" t="n"/>
      <c r="E174" s="54" t="n"/>
      <c r="F174" s="55">
        <f>IF(OR(D174="",E174=""),"",D174*E174)</f>
        <v/>
      </c>
      <c r="G174" s="48">
        <f>IF(OR(B174="",C174=""),"",IFERROR(IF(MAXIFS($C$4:C173,$B$4:B173,B174)=0,"",C174-MAXIFS($C$4:C173,$B$4:B173,B174)),""))</f>
        <v/>
      </c>
      <c r="H174" s="56">
        <f>IF(OR(G174="",G174=0,D174=""),"",D174/G174*100)</f>
        <v/>
      </c>
      <c r="I174" s="57">
        <f>IF(OR(G174="",G174=0,F174=""),"",F174/G174)</f>
        <v/>
      </c>
      <c r="J174" s="38" t="n"/>
      <c r="K174" s="38" t="n"/>
      <c r="L174" s="38" t="n"/>
    </row>
    <row r="175">
      <c r="A175" s="33" t="n"/>
      <c r="B175" s="32" t="n"/>
      <c r="C175" s="41" t="n"/>
      <c r="D175" s="58" t="n"/>
      <c r="E175" s="59" t="n"/>
      <c r="F175" s="55">
        <f>IF(OR(D175="",E175=""),"",D175*E175)</f>
        <v/>
      </c>
      <c r="G175" s="48">
        <f>IF(OR(B175="",C175=""),"",IFERROR(IF(MAXIFS($C$4:C174,$B$4:B174,B175)=0,"",C175-MAXIFS($C$4:C174,$B$4:B174,B175)),""))</f>
        <v/>
      </c>
      <c r="H175" s="56">
        <f>IF(OR(G175="",G175=0,D175=""),"",D175/G175*100)</f>
        <v/>
      </c>
      <c r="I175" s="57">
        <f>IF(OR(G175="",G175=0,F175=""),"",F175/G175)</f>
        <v/>
      </c>
      <c r="J175" s="40" t="n"/>
      <c r="K175" s="40" t="n"/>
      <c r="L175" s="40" t="n"/>
    </row>
    <row r="176">
      <c r="A176" s="35" t="n"/>
      <c r="B176" s="34" t="n"/>
      <c r="C176" s="39" t="n"/>
      <c r="D176" s="53" t="n"/>
      <c r="E176" s="54" t="n"/>
      <c r="F176" s="55">
        <f>IF(OR(D176="",E176=""),"",D176*E176)</f>
        <v/>
      </c>
      <c r="G176" s="48">
        <f>IF(OR(B176="",C176=""),"",IFERROR(IF(MAXIFS($C$4:C175,$B$4:B175,B176)=0,"",C176-MAXIFS($C$4:C175,$B$4:B175,B176)),""))</f>
        <v/>
      </c>
      <c r="H176" s="56">
        <f>IF(OR(G176="",G176=0,D176=""),"",D176/G176*100)</f>
        <v/>
      </c>
      <c r="I176" s="57">
        <f>IF(OR(G176="",G176=0,F176=""),"",F176/G176)</f>
        <v/>
      </c>
      <c r="J176" s="38" t="n"/>
      <c r="K176" s="38" t="n"/>
      <c r="L176" s="38" t="n"/>
    </row>
    <row r="177">
      <c r="A177" s="33" t="n"/>
      <c r="B177" s="32" t="n"/>
      <c r="C177" s="41" t="n"/>
      <c r="D177" s="58" t="n"/>
      <c r="E177" s="59" t="n"/>
      <c r="F177" s="55">
        <f>IF(OR(D177="",E177=""),"",D177*E177)</f>
        <v/>
      </c>
      <c r="G177" s="48">
        <f>IF(OR(B177="",C177=""),"",IFERROR(IF(MAXIFS($C$4:C176,$B$4:B176,B177)=0,"",C177-MAXIFS($C$4:C176,$B$4:B176,B177)),""))</f>
        <v/>
      </c>
      <c r="H177" s="56">
        <f>IF(OR(G177="",G177=0,D177=""),"",D177/G177*100)</f>
        <v/>
      </c>
      <c r="I177" s="57">
        <f>IF(OR(G177="",G177=0,F177=""),"",F177/G177)</f>
        <v/>
      </c>
      <c r="J177" s="40" t="n"/>
      <c r="K177" s="40" t="n"/>
      <c r="L177" s="40" t="n"/>
    </row>
    <row r="178">
      <c r="A178" s="35" t="n"/>
      <c r="B178" s="34" t="n"/>
      <c r="C178" s="39" t="n"/>
      <c r="D178" s="53" t="n"/>
      <c r="E178" s="54" t="n"/>
      <c r="F178" s="55">
        <f>IF(OR(D178="",E178=""),"",D178*E178)</f>
        <v/>
      </c>
      <c r="G178" s="48">
        <f>IF(OR(B178="",C178=""),"",IFERROR(IF(MAXIFS($C$4:C177,$B$4:B177,B178)=0,"",C178-MAXIFS($C$4:C177,$B$4:B177,B178)),""))</f>
        <v/>
      </c>
      <c r="H178" s="56">
        <f>IF(OR(G178="",G178=0,D178=""),"",D178/G178*100)</f>
        <v/>
      </c>
      <c r="I178" s="57">
        <f>IF(OR(G178="",G178=0,F178=""),"",F178/G178)</f>
        <v/>
      </c>
      <c r="J178" s="38" t="n"/>
      <c r="K178" s="38" t="n"/>
      <c r="L178" s="38" t="n"/>
    </row>
    <row r="179">
      <c r="A179" s="33" t="n"/>
      <c r="B179" s="32" t="n"/>
      <c r="C179" s="41" t="n"/>
      <c r="D179" s="58" t="n"/>
      <c r="E179" s="59" t="n"/>
      <c r="F179" s="55">
        <f>IF(OR(D179="",E179=""),"",D179*E179)</f>
        <v/>
      </c>
      <c r="G179" s="48">
        <f>IF(OR(B179="",C179=""),"",IFERROR(IF(MAXIFS($C$4:C178,$B$4:B178,B179)=0,"",C179-MAXIFS($C$4:C178,$B$4:B178,B179)),""))</f>
        <v/>
      </c>
      <c r="H179" s="56">
        <f>IF(OR(G179="",G179=0,D179=""),"",D179/G179*100)</f>
        <v/>
      </c>
      <c r="I179" s="57">
        <f>IF(OR(G179="",G179=0,F179=""),"",F179/G179)</f>
        <v/>
      </c>
      <c r="J179" s="40" t="n"/>
      <c r="K179" s="40" t="n"/>
      <c r="L179" s="40" t="n"/>
    </row>
    <row r="180">
      <c r="A180" s="35" t="n"/>
      <c r="B180" s="34" t="n"/>
      <c r="C180" s="39" t="n"/>
      <c r="D180" s="53" t="n"/>
      <c r="E180" s="54" t="n"/>
      <c r="F180" s="55">
        <f>IF(OR(D180="",E180=""),"",D180*E180)</f>
        <v/>
      </c>
      <c r="G180" s="48">
        <f>IF(OR(B180="",C180=""),"",IFERROR(IF(MAXIFS($C$4:C179,$B$4:B179,B180)=0,"",C180-MAXIFS($C$4:C179,$B$4:B179,B180)),""))</f>
        <v/>
      </c>
      <c r="H180" s="56">
        <f>IF(OR(G180="",G180=0,D180=""),"",D180/G180*100)</f>
        <v/>
      </c>
      <c r="I180" s="57">
        <f>IF(OR(G180="",G180=0,F180=""),"",F180/G180)</f>
        <v/>
      </c>
      <c r="J180" s="38" t="n"/>
      <c r="K180" s="38" t="n"/>
      <c r="L180" s="38" t="n"/>
    </row>
    <row r="181">
      <c r="A181" s="33" t="n"/>
      <c r="B181" s="32" t="n"/>
      <c r="C181" s="41" t="n"/>
      <c r="D181" s="58" t="n"/>
      <c r="E181" s="59" t="n"/>
      <c r="F181" s="55">
        <f>IF(OR(D181="",E181=""),"",D181*E181)</f>
        <v/>
      </c>
      <c r="G181" s="48">
        <f>IF(OR(B181="",C181=""),"",IFERROR(IF(MAXIFS($C$4:C180,$B$4:B180,B181)=0,"",C181-MAXIFS($C$4:C180,$B$4:B180,B181)),""))</f>
        <v/>
      </c>
      <c r="H181" s="56">
        <f>IF(OR(G181="",G181=0,D181=""),"",D181/G181*100)</f>
        <v/>
      </c>
      <c r="I181" s="57">
        <f>IF(OR(G181="",G181=0,F181=""),"",F181/G181)</f>
        <v/>
      </c>
      <c r="J181" s="40" t="n"/>
      <c r="K181" s="40" t="n"/>
      <c r="L181" s="40" t="n"/>
    </row>
    <row r="182">
      <c r="A182" s="35" t="n"/>
      <c r="B182" s="34" t="n"/>
      <c r="C182" s="39" t="n"/>
      <c r="D182" s="53" t="n"/>
      <c r="E182" s="54" t="n"/>
      <c r="F182" s="55">
        <f>IF(OR(D182="",E182=""),"",D182*E182)</f>
        <v/>
      </c>
      <c r="G182" s="48">
        <f>IF(OR(B182="",C182=""),"",IFERROR(IF(MAXIFS($C$4:C181,$B$4:B181,B182)=0,"",C182-MAXIFS($C$4:C181,$B$4:B181,B182)),""))</f>
        <v/>
      </c>
      <c r="H182" s="56">
        <f>IF(OR(G182="",G182=0,D182=""),"",D182/G182*100)</f>
        <v/>
      </c>
      <c r="I182" s="57">
        <f>IF(OR(G182="",G182=0,F182=""),"",F182/G182)</f>
        <v/>
      </c>
      <c r="J182" s="38" t="n"/>
      <c r="K182" s="38" t="n"/>
      <c r="L182" s="38" t="n"/>
    </row>
    <row r="183">
      <c r="A183" s="33" t="n"/>
      <c r="B183" s="32" t="n"/>
      <c r="C183" s="41" t="n"/>
      <c r="D183" s="58" t="n"/>
      <c r="E183" s="59" t="n"/>
      <c r="F183" s="55">
        <f>IF(OR(D183="",E183=""),"",D183*E183)</f>
        <v/>
      </c>
      <c r="G183" s="48">
        <f>IF(OR(B183="",C183=""),"",IFERROR(IF(MAXIFS($C$4:C182,$B$4:B182,B183)=0,"",C183-MAXIFS($C$4:C182,$B$4:B182,B183)),""))</f>
        <v/>
      </c>
      <c r="H183" s="56">
        <f>IF(OR(G183="",G183=0,D183=""),"",D183/G183*100)</f>
        <v/>
      </c>
      <c r="I183" s="57">
        <f>IF(OR(G183="",G183=0,F183=""),"",F183/G183)</f>
        <v/>
      </c>
      <c r="J183" s="40" t="n"/>
      <c r="K183" s="40" t="n"/>
      <c r="L183" s="40" t="n"/>
    </row>
    <row r="184">
      <c r="A184" s="35" t="n"/>
      <c r="B184" s="34" t="n"/>
      <c r="C184" s="39" t="n"/>
      <c r="D184" s="53" t="n"/>
      <c r="E184" s="54" t="n"/>
      <c r="F184" s="55">
        <f>IF(OR(D184="",E184=""),"",D184*E184)</f>
        <v/>
      </c>
      <c r="G184" s="48">
        <f>IF(OR(B184="",C184=""),"",IFERROR(IF(MAXIFS($C$4:C183,$B$4:B183,B184)=0,"",C184-MAXIFS($C$4:C183,$B$4:B183,B184)),""))</f>
        <v/>
      </c>
      <c r="H184" s="56">
        <f>IF(OR(G184="",G184=0,D184=""),"",D184/G184*100)</f>
        <v/>
      </c>
      <c r="I184" s="57">
        <f>IF(OR(G184="",G184=0,F184=""),"",F184/G184)</f>
        <v/>
      </c>
      <c r="J184" s="38" t="n"/>
      <c r="K184" s="38" t="n"/>
      <c r="L184" s="38" t="n"/>
    </row>
    <row r="185">
      <c r="A185" s="33" t="n"/>
      <c r="B185" s="32" t="n"/>
      <c r="C185" s="41" t="n"/>
      <c r="D185" s="58" t="n"/>
      <c r="E185" s="59" t="n"/>
      <c r="F185" s="55">
        <f>IF(OR(D185="",E185=""),"",D185*E185)</f>
        <v/>
      </c>
      <c r="G185" s="48">
        <f>IF(OR(B185="",C185=""),"",IFERROR(IF(MAXIFS($C$4:C184,$B$4:B184,B185)=0,"",C185-MAXIFS($C$4:C184,$B$4:B184,B185)),""))</f>
        <v/>
      </c>
      <c r="H185" s="56">
        <f>IF(OR(G185="",G185=0,D185=""),"",D185/G185*100)</f>
        <v/>
      </c>
      <c r="I185" s="57">
        <f>IF(OR(G185="",G185=0,F185=""),"",F185/G185)</f>
        <v/>
      </c>
      <c r="J185" s="40" t="n"/>
      <c r="K185" s="40" t="n"/>
      <c r="L185" s="40" t="n"/>
    </row>
    <row r="186">
      <c r="A186" s="35" t="n"/>
      <c r="B186" s="34" t="n"/>
      <c r="C186" s="39" t="n"/>
      <c r="D186" s="53" t="n"/>
      <c r="E186" s="54" t="n"/>
      <c r="F186" s="55">
        <f>IF(OR(D186="",E186=""),"",D186*E186)</f>
        <v/>
      </c>
      <c r="G186" s="48">
        <f>IF(OR(B186="",C186=""),"",IFERROR(IF(MAXIFS($C$4:C185,$B$4:B185,B186)=0,"",C186-MAXIFS($C$4:C185,$B$4:B185,B186)),""))</f>
        <v/>
      </c>
      <c r="H186" s="56">
        <f>IF(OR(G186="",G186=0,D186=""),"",D186/G186*100)</f>
        <v/>
      </c>
      <c r="I186" s="57">
        <f>IF(OR(G186="",G186=0,F186=""),"",F186/G186)</f>
        <v/>
      </c>
      <c r="J186" s="38" t="n"/>
      <c r="K186" s="38" t="n"/>
      <c r="L186" s="38" t="n"/>
    </row>
    <row r="187">
      <c r="A187" s="33" t="n"/>
      <c r="B187" s="32" t="n"/>
      <c r="C187" s="41" t="n"/>
      <c r="D187" s="58" t="n"/>
      <c r="E187" s="59" t="n"/>
      <c r="F187" s="55">
        <f>IF(OR(D187="",E187=""),"",D187*E187)</f>
        <v/>
      </c>
      <c r="G187" s="48">
        <f>IF(OR(B187="",C187=""),"",IFERROR(IF(MAXIFS($C$4:C186,$B$4:B186,B187)=0,"",C187-MAXIFS($C$4:C186,$B$4:B186,B187)),""))</f>
        <v/>
      </c>
      <c r="H187" s="56">
        <f>IF(OR(G187="",G187=0,D187=""),"",D187/G187*100)</f>
        <v/>
      </c>
      <c r="I187" s="57">
        <f>IF(OR(G187="",G187=0,F187=""),"",F187/G187)</f>
        <v/>
      </c>
      <c r="J187" s="40" t="n"/>
      <c r="K187" s="40" t="n"/>
      <c r="L187" s="40" t="n"/>
    </row>
    <row r="188">
      <c r="A188" s="35" t="n"/>
      <c r="B188" s="34" t="n"/>
      <c r="C188" s="39" t="n"/>
      <c r="D188" s="53" t="n"/>
      <c r="E188" s="54" t="n"/>
      <c r="F188" s="55">
        <f>IF(OR(D188="",E188=""),"",D188*E188)</f>
        <v/>
      </c>
      <c r="G188" s="48">
        <f>IF(OR(B188="",C188=""),"",IFERROR(IF(MAXIFS($C$4:C187,$B$4:B187,B188)=0,"",C188-MAXIFS($C$4:C187,$B$4:B187,B188)),""))</f>
        <v/>
      </c>
      <c r="H188" s="56">
        <f>IF(OR(G188="",G188=0,D188=""),"",D188/G188*100)</f>
        <v/>
      </c>
      <c r="I188" s="57">
        <f>IF(OR(G188="",G188=0,F188=""),"",F188/G188)</f>
        <v/>
      </c>
      <c r="J188" s="38" t="n"/>
      <c r="K188" s="38" t="n"/>
      <c r="L188" s="38" t="n"/>
    </row>
    <row r="189">
      <c r="A189" s="33" t="n"/>
      <c r="B189" s="32" t="n"/>
      <c r="C189" s="41" t="n"/>
      <c r="D189" s="58" t="n"/>
      <c r="E189" s="59" t="n"/>
      <c r="F189" s="55">
        <f>IF(OR(D189="",E189=""),"",D189*E189)</f>
        <v/>
      </c>
      <c r="G189" s="48">
        <f>IF(OR(B189="",C189=""),"",IFERROR(IF(MAXIFS($C$4:C188,$B$4:B188,B189)=0,"",C189-MAXIFS($C$4:C188,$B$4:B188,B189)),""))</f>
        <v/>
      </c>
      <c r="H189" s="56">
        <f>IF(OR(G189="",G189=0,D189=""),"",D189/G189*100)</f>
        <v/>
      </c>
      <c r="I189" s="57">
        <f>IF(OR(G189="",G189=0,F189=""),"",F189/G189)</f>
        <v/>
      </c>
      <c r="J189" s="40" t="n"/>
      <c r="K189" s="40" t="n"/>
      <c r="L189" s="40" t="n"/>
    </row>
    <row r="190">
      <c r="A190" s="35" t="n"/>
      <c r="B190" s="34" t="n"/>
      <c r="C190" s="39" t="n"/>
      <c r="D190" s="53" t="n"/>
      <c r="E190" s="54" t="n"/>
      <c r="F190" s="55">
        <f>IF(OR(D190="",E190=""),"",D190*E190)</f>
        <v/>
      </c>
      <c r="G190" s="48">
        <f>IF(OR(B190="",C190=""),"",IFERROR(IF(MAXIFS($C$4:C189,$B$4:B189,B190)=0,"",C190-MAXIFS($C$4:C189,$B$4:B189,B190)),""))</f>
        <v/>
      </c>
      <c r="H190" s="56">
        <f>IF(OR(G190="",G190=0,D190=""),"",D190/G190*100)</f>
        <v/>
      </c>
      <c r="I190" s="57">
        <f>IF(OR(G190="",G190=0,F190=""),"",F190/G190)</f>
        <v/>
      </c>
      <c r="J190" s="38" t="n"/>
      <c r="K190" s="38" t="n"/>
      <c r="L190" s="38" t="n"/>
    </row>
    <row r="191">
      <c r="A191" s="33" t="n"/>
      <c r="B191" s="32" t="n"/>
      <c r="C191" s="41" t="n"/>
      <c r="D191" s="58" t="n"/>
      <c r="E191" s="59" t="n"/>
      <c r="F191" s="55">
        <f>IF(OR(D191="",E191=""),"",D191*E191)</f>
        <v/>
      </c>
      <c r="G191" s="48">
        <f>IF(OR(B191="",C191=""),"",IFERROR(IF(MAXIFS($C$4:C190,$B$4:B190,B191)=0,"",C191-MAXIFS($C$4:C190,$B$4:B190,B191)),""))</f>
        <v/>
      </c>
      <c r="H191" s="56">
        <f>IF(OR(G191="",G191=0,D191=""),"",D191/G191*100)</f>
        <v/>
      </c>
      <c r="I191" s="57">
        <f>IF(OR(G191="",G191=0,F191=""),"",F191/G191)</f>
        <v/>
      </c>
      <c r="J191" s="40" t="n"/>
      <c r="K191" s="40" t="n"/>
      <c r="L191" s="40" t="n"/>
    </row>
    <row r="192">
      <c r="A192" s="35" t="n"/>
      <c r="B192" s="34" t="n"/>
      <c r="C192" s="39" t="n"/>
      <c r="D192" s="53" t="n"/>
      <c r="E192" s="54" t="n"/>
      <c r="F192" s="55">
        <f>IF(OR(D192="",E192=""),"",D192*E192)</f>
        <v/>
      </c>
      <c r="G192" s="48">
        <f>IF(OR(B192="",C192=""),"",IFERROR(IF(MAXIFS($C$4:C191,$B$4:B191,B192)=0,"",C192-MAXIFS($C$4:C191,$B$4:B191,B192)),""))</f>
        <v/>
      </c>
      <c r="H192" s="56">
        <f>IF(OR(G192="",G192=0,D192=""),"",D192/G192*100)</f>
        <v/>
      </c>
      <c r="I192" s="57">
        <f>IF(OR(G192="",G192=0,F192=""),"",F192/G192)</f>
        <v/>
      </c>
      <c r="J192" s="38" t="n"/>
      <c r="K192" s="38" t="n"/>
      <c r="L192" s="38" t="n"/>
    </row>
    <row r="193">
      <c r="A193" s="33" t="n"/>
      <c r="B193" s="32" t="n"/>
      <c r="C193" s="41" t="n"/>
      <c r="D193" s="58" t="n"/>
      <c r="E193" s="59" t="n"/>
      <c r="F193" s="55">
        <f>IF(OR(D193="",E193=""),"",D193*E193)</f>
        <v/>
      </c>
      <c r="G193" s="48">
        <f>IF(OR(B193="",C193=""),"",IFERROR(IF(MAXIFS($C$4:C192,$B$4:B192,B193)=0,"",C193-MAXIFS($C$4:C192,$B$4:B192,B193)),""))</f>
        <v/>
      </c>
      <c r="H193" s="56">
        <f>IF(OR(G193="",G193=0,D193=""),"",D193/G193*100)</f>
        <v/>
      </c>
      <c r="I193" s="57">
        <f>IF(OR(G193="",G193=0,F193=""),"",F193/G193)</f>
        <v/>
      </c>
      <c r="J193" s="40" t="n"/>
      <c r="K193" s="40" t="n"/>
      <c r="L193" s="40" t="n"/>
    </row>
    <row r="194">
      <c r="A194" s="35" t="n"/>
      <c r="B194" s="34" t="n"/>
      <c r="C194" s="39" t="n"/>
      <c r="D194" s="53" t="n"/>
      <c r="E194" s="54" t="n"/>
      <c r="F194" s="55">
        <f>IF(OR(D194="",E194=""),"",D194*E194)</f>
        <v/>
      </c>
      <c r="G194" s="48">
        <f>IF(OR(B194="",C194=""),"",IFERROR(IF(MAXIFS($C$4:C193,$B$4:B193,B194)=0,"",C194-MAXIFS($C$4:C193,$B$4:B193,B194)),""))</f>
        <v/>
      </c>
      <c r="H194" s="56">
        <f>IF(OR(G194="",G194=0,D194=""),"",D194/G194*100)</f>
        <v/>
      </c>
      <c r="I194" s="57">
        <f>IF(OR(G194="",G194=0,F194=""),"",F194/G194)</f>
        <v/>
      </c>
      <c r="J194" s="38" t="n"/>
      <c r="K194" s="38" t="n"/>
      <c r="L194" s="38" t="n"/>
    </row>
    <row r="195">
      <c r="A195" s="33" t="n"/>
      <c r="B195" s="32" t="n"/>
      <c r="C195" s="41" t="n"/>
      <c r="D195" s="58" t="n"/>
      <c r="E195" s="59" t="n"/>
      <c r="F195" s="55">
        <f>IF(OR(D195="",E195=""),"",D195*E195)</f>
        <v/>
      </c>
      <c r="G195" s="48">
        <f>IF(OR(B195="",C195=""),"",IFERROR(IF(MAXIFS($C$4:C194,$B$4:B194,B195)=0,"",C195-MAXIFS($C$4:C194,$B$4:B194,B195)),""))</f>
        <v/>
      </c>
      <c r="H195" s="56">
        <f>IF(OR(G195="",G195=0,D195=""),"",D195/G195*100)</f>
        <v/>
      </c>
      <c r="I195" s="57">
        <f>IF(OR(G195="",G195=0,F195=""),"",F195/G195)</f>
        <v/>
      </c>
      <c r="J195" s="40" t="n"/>
      <c r="K195" s="40" t="n"/>
      <c r="L195" s="40" t="n"/>
    </row>
    <row r="196">
      <c r="A196" s="35" t="n"/>
      <c r="B196" s="34" t="n"/>
      <c r="C196" s="39" t="n"/>
      <c r="D196" s="53" t="n"/>
      <c r="E196" s="54" t="n"/>
      <c r="F196" s="55">
        <f>IF(OR(D196="",E196=""),"",D196*E196)</f>
        <v/>
      </c>
      <c r="G196" s="48">
        <f>IF(OR(B196="",C196=""),"",IFERROR(IF(MAXIFS($C$4:C195,$B$4:B195,B196)=0,"",C196-MAXIFS($C$4:C195,$B$4:B195,B196)),""))</f>
        <v/>
      </c>
      <c r="H196" s="56">
        <f>IF(OR(G196="",G196=0,D196=""),"",D196/G196*100)</f>
        <v/>
      </c>
      <c r="I196" s="57">
        <f>IF(OR(G196="",G196=0,F196=""),"",F196/G196)</f>
        <v/>
      </c>
      <c r="J196" s="38" t="n"/>
      <c r="K196" s="38" t="n"/>
      <c r="L196" s="38" t="n"/>
    </row>
    <row r="197">
      <c r="A197" s="33" t="n"/>
      <c r="B197" s="32" t="n"/>
      <c r="C197" s="41" t="n"/>
      <c r="D197" s="58" t="n"/>
      <c r="E197" s="59" t="n"/>
      <c r="F197" s="55">
        <f>IF(OR(D197="",E197=""),"",D197*E197)</f>
        <v/>
      </c>
      <c r="G197" s="48">
        <f>IF(OR(B197="",C197=""),"",IFERROR(IF(MAXIFS($C$4:C196,$B$4:B196,B197)=0,"",C197-MAXIFS($C$4:C196,$B$4:B196,B197)),""))</f>
        <v/>
      </c>
      <c r="H197" s="56">
        <f>IF(OR(G197="",G197=0,D197=""),"",D197/G197*100)</f>
        <v/>
      </c>
      <c r="I197" s="57">
        <f>IF(OR(G197="",G197=0,F197=""),"",F197/G197)</f>
        <v/>
      </c>
      <c r="J197" s="40" t="n"/>
      <c r="K197" s="40" t="n"/>
      <c r="L197" s="40" t="n"/>
    </row>
    <row r="198">
      <c r="A198" s="35" t="n"/>
      <c r="B198" s="34" t="n"/>
      <c r="C198" s="39" t="n"/>
      <c r="D198" s="53" t="n"/>
      <c r="E198" s="54" t="n"/>
      <c r="F198" s="55">
        <f>IF(OR(D198="",E198=""),"",D198*E198)</f>
        <v/>
      </c>
      <c r="G198" s="48">
        <f>IF(OR(B198="",C198=""),"",IFERROR(IF(MAXIFS($C$4:C197,$B$4:B197,B198)=0,"",C198-MAXIFS($C$4:C197,$B$4:B197,B198)),""))</f>
        <v/>
      </c>
      <c r="H198" s="56">
        <f>IF(OR(G198="",G198=0,D198=""),"",D198/G198*100)</f>
        <v/>
      </c>
      <c r="I198" s="57">
        <f>IF(OR(G198="",G198=0,F198=""),"",F198/G198)</f>
        <v/>
      </c>
      <c r="J198" s="38" t="n"/>
      <c r="K198" s="38" t="n"/>
      <c r="L198" s="38" t="n"/>
    </row>
    <row r="199">
      <c r="A199" s="33" t="n"/>
      <c r="B199" s="32" t="n"/>
      <c r="C199" s="41" t="n"/>
      <c r="D199" s="58" t="n"/>
      <c r="E199" s="59" t="n"/>
      <c r="F199" s="55">
        <f>IF(OR(D199="",E199=""),"",D199*E199)</f>
        <v/>
      </c>
      <c r="G199" s="48">
        <f>IF(OR(B199="",C199=""),"",IFERROR(IF(MAXIFS($C$4:C198,$B$4:B198,B199)=0,"",C199-MAXIFS($C$4:C198,$B$4:B198,B199)),""))</f>
        <v/>
      </c>
      <c r="H199" s="56">
        <f>IF(OR(G199="",G199=0,D199=""),"",D199/G199*100)</f>
        <v/>
      </c>
      <c r="I199" s="57">
        <f>IF(OR(G199="",G199=0,F199=""),"",F199/G199)</f>
        <v/>
      </c>
      <c r="J199" s="40" t="n"/>
      <c r="K199" s="40" t="n"/>
      <c r="L199" s="40" t="n"/>
    </row>
    <row r="200">
      <c r="A200" s="35" t="n"/>
      <c r="B200" s="34" t="n"/>
      <c r="C200" s="39" t="n"/>
      <c r="D200" s="53" t="n"/>
      <c r="E200" s="54" t="n"/>
      <c r="F200" s="55">
        <f>IF(OR(D200="",E200=""),"",D200*E200)</f>
        <v/>
      </c>
      <c r="G200" s="48">
        <f>IF(OR(B200="",C200=""),"",IFERROR(IF(MAXIFS($C$4:C199,$B$4:B199,B200)=0,"",C200-MAXIFS($C$4:C199,$B$4:B199,B200)),""))</f>
        <v/>
      </c>
      <c r="H200" s="56">
        <f>IF(OR(G200="",G200=0,D200=""),"",D200/G200*100)</f>
        <v/>
      </c>
      <c r="I200" s="57">
        <f>IF(OR(G200="",G200=0,F200=""),"",F200/G200)</f>
        <v/>
      </c>
      <c r="J200" s="38" t="n"/>
      <c r="K200" s="38" t="n"/>
      <c r="L200" s="38" t="n"/>
    </row>
    <row r="201">
      <c r="A201" s="33" t="n"/>
      <c r="B201" s="32" t="n"/>
      <c r="C201" s="41" t="n"/>
      <c r="D201" s="58" t="n"/>
      <c r="E201" s="59" t="n"/>
      <c r="F201" s="55">
        <f>IF(OR(D201="",E201=""),"",D201*E201)</f>
        <v/>
      </c>
      <c r="G201" s="48">
        <f>IF(OR(B201="",C201=""),"",IFERROR(IF(MAXIFS($C$4:C200,$B$4:B200,B201)=0,"",C201-MAXIFS($C$4:C200,$B$4:B200,B201)),""))</f>
        <v/>
      </c>
      <c r="H201" s="56">
        <f>IF(OR(G201="",G201=0,D201=""),"",D201/G201*100)</f>
        <v/>
      </c>
      <c r="I201" s="57">
        <f>IF(OR(G201="",G201=0,F201=""),"",F201/G201)</f>
        <v/>
      </c>
      <c r="J201" s="40" t="n"/>
      <c r="K201" s="40" t="n"/>
      <c r="L201" s="40" t="n"/>
    </row>
    <row r="202">
      <c r="A202" s="35" t="n"/>
      <c r="B202" s="34" t="n"/>
      <c r="C202" s="39" t="n"/>
      <c r="D202" s="53" t="n"/>
      <c r="E202" s="54" t="n"/>
      <c r="F202" s="55">
        <f>IF(OR(D202="",E202=""),"",D202*E202)</f>
        <v/>
      </c>
      <c r="G202" s="48">
        <f>IF(OR(B202="",C202=""),"",IFERROR(IF(MAXIFS($C$4:C201,$B$4:B201,B202)=0,"",C202-MAXIFS($C$4:C201,$B$4:B201,B202)),""))</f>
        <v/>
      </c>
      <c r="H202" s="56">
        <f>IF(OR(G202="",G202=0,D202=""),"",D202/G202*100)</f>
        <v/>
      </c>
      <c r="I202" s="57">
        <f>IF(OR(G202="",G202=0,F202=""),"",F202/G202)</f>
        <v/>
      </c>
      <c r="J202" s="38" t="n"/>
      <c r="K202" s="38" t="n"/>
      <c r="L202" s="38" t="n"/>
    </row>
    <row r="203">
      <c r="A203" s="33" t="n"/>
      <c r="B203" s="32" t="n"/>
      <c r="C203" s="41" t="n"/>
      <c r="D203" s="58" t="n"/>
      <c r="E203" s="59" t="n"/>
      <c r="F203" s="55">
        <f>IF(OR(D203="",E203=""),"",D203*E203)</f>
        <v/>
      </c>
      <c r="G203" s="48">
        <f>IF(OR(B203="",C203=""),"",IFERROR(IF(MAXIFS($C$4:C202,$B$4:B202,B203)=0,"",C203-MAXIFS($C$4:C202,$B$4:B202,B203)),""))</f>
        <v/>
      </c>
      <c r="H203" s="56">
        <f>IF(OR(G203="",G203=0,D203=""),"",D203/G203*100)</f>
        <v/>
      </c>
      <c r="I203" s="57">
        <f>IF(OR(G203="",G203=0,F203=""),"",F203/G203)</f>
        <v/>
      </c>
      <c r="J203" s="40" t="n"/>
      <c r="K203" s="40" t="n"/>
      <c r="L203" s="40" t="n"/>
    </row>
    <row r="204">
      <c r="A204" s="35" t="n"/>
      <c r="B204" s="34" t="n"/>
      <c r="C204" s="39" t="n"/>
      <c r="D204" s="53" t="n"/>
      <c r="E204" s="54" t="n"/>
      <c r="F204" s="55">
        <f>IF(OR(D204="",E204=""),"",D204*E204)</f>
        <v/>
      </c>
      <c r="G204" s="48">
        <f>IF(OR(B204="",C204=""),"",IFERROR(IF(MAXIFS($C$4:C203,$B$4:B203,B204)=0,"",C204-MAXIFS($C$4:C203,$B$4:B203,B204)),""))</f>
        <v/>
      </c>
      <c r="H204" s="56">
        <f>IF(OR(G204="",G204=0,D204=""),"",D204/G204*100)</f>
        <v/>
      </c>
      <c r="I204" s="57">
        <f>IF(OR(G204="",G204=0,F204=""),"",F204/G204)</f>
        <v/>
      </c>
      <c r="J204" s="38" t="n"/>
      <c r="K204" s="38" t="n"/>
      <c r="L204" s="38" t="n"/>
    </row>
    <row r="205">
      <c r="A205" s="33" t="n"/>
      <c r="B205" s="32" t="n"/>
      <c r="C205" s="41" t="n"/>
      <c r="D205" s="58" t="n"/>
      <c r="E205" s="59" t="n"/>
      <c r="F205" s="55">
        <f>IF(OR(D205="",E205=""),"",D205*E205)</f>
        <v/>
      </c>
      <c r="G205" s="48">
        <f>IF(OR(B205="",C205=""),"",IFERROR(IF(MAXIFS($C$4:C204,$B$4:B204,B205)=0,"",C205-MAXIFS($C$4:C204,$B$4:B204,B205)),""))</f>
        <v/>
      </c>
      <c r="H205" s="56">
        <f>IF(OR(G205="",G205=0,D205=""),"",D205/G205*100)</f>
        <v/>
      </c>
      <c r="I205" s="57">
        <f>IF(OR(G205="",G205=0,F205=""),"",F205/G205)</f>
        <v/>
      </c>
      <c r="J205" s="40" t="n"/>
      <c r="K205" s="40" t="n"/>
      <c r="L205" s="40" t="n"/>
    </row>
    <row r="206">
      <c r="A206" s="35" t="n"/>
      <c r="B206" s="34" t="n"/>
      <c r="C206" s="39" t="n"/>
      <c r="D206" s="53" t="n"/>
      <c r="E206" s="54" t="n"/>
      <c r="F206" s="55">
        <f>IF(OR(D206="",E206=""),"",D206*E206)</f>
        <v/>
      </c>
      <c r="G206" s="48">
        <f>IF(OR(B206="",C206=""),"",IFERROR(IF(MAXIFS($C$4:C205,$B$4:B205,B206)=0,"",C206-MAXIFS($C$4:C205,$B$4:B205,B206)),""))</f>
        <v/>
      </c>
      <c r="H206" s="56">
        <f>IF(OR(G206="",G206=0,D206=""),"",D206/G206*100)</f>
        <v/>
      </c>
      <c r="I206" s="57">
        <f>IF(OR(G206="",G206=0,F206=""),"",F206/G206)</f>
        <v/>
      </c>
      <c r="J206" s="38" t="n"/>
      <c r="K206" s="38" t="n"/>
      <c r="L206" s="38" t="n"/>
    </row>
    <row r="207">
      <c r="A207" s="33" t="n"/>
      <c r="B207" s="32" t="n"/>
      <c r="C207" s="41" t="n"/>
      <c r="D207" s="58" t="n"/>
      <c r="E207" s="59" t="n"/>
      <c r="F207" s="55">
        <f>IF(OR(D207="",E207=""),"",D207*E207)</f>
        <v/>
      </c>
      <c r="G207" s="48">
        <f>IF(OR(B207="",C207=""),"",IFERROR(IF(MAXIFS($C$4:C206,$B$4:B206,B207)=0,"",C207-MAXIFS($C$4:C206,$B$4:B206,B207)),""))</f>
        <v/>
      </c>
      <c r="H207" s="56">
        <f>IF(OR(G207="",G207=0,D207=""),"",D207/G207*100)</f>
        <v/>
      </c>
      <c r="I207" s="57">
        <f>IF(OR(G207="",G207=0,F207=""),"",F207/G207)</f>
        <v/>
      </c>
      <c r="J207" s="40" t="n"/>
      <c r="K207" s="40" t="n"/>
      <c r="L207" s="40" t="n"/>
    </row>
    <row r="208">
      <c r="A208" s="35" t="n"/>
      <c r="B208" s="34" t="n"/>
      <c r="C208" s="39" t="n"/>
      <c r="D208" s="53" t="n"/>
      <c r="E208" s="54" t="n"/>
      <c r="F208" s="55">
        <f>IF(OR(D208="",E208=""),"",D208*E208)</f>
        <v/>
      </c>
      <c r="G208" s="48">
        <f>IF(OR(B208="",C208=""),"",IFERROR(IF(MAXIFS($C$4:C207,$B$4:B207,B208)=0,"",C208-MAXIFS($C$4:C207,$B$4:B207,B208)),""))</f>
        <v/>
      </c>
      <c r="H208" s="56">
        <f>IF(OR(G208="",G208=0,D208=""),"",D208/G208*100)</f>
        <v/>
      </c>
      <c r="I208" s="57">
        <f>IF(OR(G208="",G208=0,F208=""),"",F208/G208)</f>
        <v/>
      </c>
      <c r="J208" s="38" t="n"/>
      <c r="K208" s="38" t="n"/>
      <c r="L208" s="38" t="n"/>
    </row>
    <row r="209">
      <c r="A209" s="33" t="n"/>
      <c r="B209" s="32" t="n"/>
      <c r="C209" s="41" t="n"/>
      <c r="D209" s="58" t="n"/>
      <c r="E209" s="59" t="n"/>
      <c r="F209" s="55">
        <f>IF(OR(D209="",E209=""),"",D209*E209)</f>
        <v/>
      </c>
      <c r="G209" s="48">
        <f>IF(OR(B209="",C209=""),"",IFERROR(IF(MAXIFS($C$4:C208,$B$4:B208,B209)=0,"",C209-MAXIFS($C$4:C208,$B$4:B208,B209)),""))</f>
        <v/>
      </c>
      <c r="H209" s="56">
        <f>IF(OR(G209="",G209=0,D209=""),"",D209/G209*100)</f>
        <v/>
      </c>
      <c r="I209" s="57">
        <f>IF(OR(G209="",G209=0,F209=""),"",F209/G209)</f>
        <v/>
      </c>
      <c r="J209" s="40" t="n"/>
      <c r="K209" s="40" t="n"/>
      <c r="L209" s="40" t="n"/>
    </row>
    <row r="210">
      <c r="A210" s="35" t="n"/>
      <c r="B210" s="34" t="n"/>
      <c r="C210" s="39" t="n"/>
      <c r="D210" s="53" t="n"/>
      <c r="E210" s="54" t="n"/>
      <c r="F210" s="55">
        <f>IF(OR(D210="",E210=""),"",D210*E210)</f>
        <v/>
      </c>
      <c r="G210" s="48">
        <f>IF(OR(B210="",C210=""),"",IFERROR(IF(MAXIFS($C$4:C209,$B$4:B209,B210)=0,"",C210-MAXIFS($C$4:C209,$B$4:B209,B210)),""))</f>
        <v/>
      </c>
      <c r="H210" s="56">
        <f>IF(OR(G210="",G210=0,D210=""),"",D210/G210*100)</f>
        <v/>
      </c>
      <c r="I210" s="57">
        <f>IF(OR(G210="",G210=0,F210=""),"",F210/G210)</f>
        <v/>
      </c>
      <c r="J210" s="38" t="n"/>
      <c r="K210" s="38" t="n"/>
      <c r="L210" s="38" t="n"/>
    </row>
    <row r="211">
      <c r="A211" s="33" t="n"/>
      <c r="B211" s="32" t="n"/>
      <c r="C211" s="41" t="n"/>
      <c r="D211" s="58" t="n"/>
      <c r="E211" s="59" t="n"/>
      <c r="F211" s="55">
        <f>IF(OR(D211="",E211=""),"",D211*E211)</f>
        <v/>
      </c>
      <c r="G211" s="48">
        <f>IF(OR(B211="",C211=""),"",IFERROR(IF(MAXIFS($C$4:C210,$B$4:B210,B211)=0,"",C211-MAXIFS($C$4:C210,$B$4:B210,B211)),""))</f>
        <v/>
      </c>
      <c r="H211" s="56">
        <f>IF(OR(G211="",G211=0,D211=""),"",D211/G211*100)</f>
        <v/>
      </c>
      <c r="I211" s="57">
        <f>IF(OR(G211="",G211=0,F211=""),"",F211/G211)</f>
        <v/>
      </c>
      <c r="J211" s="40" t="n"/>
      <c r="K211" s="40" t="n"/>
      <c r="L211" s="40" t="n"/>
    </row>
    <row r="212">
      <c r="A212" s="35" t="n"/>
      <c r="B212" s="34" t="n"/>
      <c r="C212" s="39" t="n"/>
      <c r="D212" s="53" t="n"/>
      <c r="E212" s="54" t="n"/>
      <c r="F212" s="55">
        <f>IF(OR(D212="",E212=""),"",D212*E212)</f>
        <v/>
      </c>
      <c r="G212" s="48">
        <f>IF(OR(B212="",C212=""),"",IFERROR(IF(MAXIFS($C$4:C211,$B$4:B211,B212)=0,"",C212-MAXIFS($C$4:C211,$B$4:B211,B212)),""))</f>
        <v/>
      </c>
      <c r="H212" s="56">
        <f>IF(OR(G212="",G212=0,D212=""),"",D212/G212*100)</f>
        <v/>
      </c>
      <c r="I212" s="57">
        <f>IF(OR(G212="",G212=0,F212=""),"",F212/G212)</f>
        <v/>
      </c>
      <c r="J212" s="38" t="n"/>
      <c r="K212" s="38" t="n"/>
      <c r="L212" s="38" t="n"/>
    </row>
    <row r="213">
      <c r="A213" s="33" t="n"/>
      <c r="B213" s="32" t="n"/>
      <c r="C213" s="41" t="n"/>
      <c r="D213" s="58" t="n"/>
      <c r="E213" s="59" t="n"/>
      <c r="F213" s="55">
        <f>IF(OR(D213="",E213=""),"",D213*E213)</f>
        <v/>
      </c>
      <c r="G213" s="48">
        <f>IF(OR(B213="",C213=""),"",IFERROR(IF(MAXIFS($C$4:C212,$B$4:B212,B213)=0,"",C213-MAXIFS($C$4:C212,$B$4:B212,B213)),""))</f>
        <v/>
      </c>
      <c r="H213" s="56">
        <f>IF(OR(G213="",G213=0,D213=""),"",D213/G213*100)</f>
        <v/>
      </c>
      <c r="I213" s="57">
        <f>IF(OR(G213="",G213=0,F213=""),"",F213/G213)</f>
        <v/>
      </c>
      <c r="J213" s="40" t="n"/>
      <c r="K213" s="40" t="n"/>
      <c r="L213" s="40" t="n"/>
    </row>
    <row r="214">
      <c r="A214" s="35" t="n"/>
      <c r="B214" s="34" t="n"/>
      <c r="C214" s="39" t="n"/>
      <c r="D214" s="53" t="n"/>
      <c r="E214" s="54" t="n"/>
      <c r="F214" s="55">
        <f>IF(OR(D214="",E214=""),"",D214*E214)</f>
        <v/>
      </c>
      <c r="G214" s="48">
        <f>IF(OR(B214="",C214=""),"",IFERROR(IF(MAXIFS($C$4:C213,$B$4:B213,B214)=0,"",C214-MAXIFS($C$4:C213,$B$4:B213,B214)),""))</f>
        <v/>
      </c>
      <c r="H214" s="56">
        <f>IF(OR(G214="",G214=0,D214=""),"",D214/G214*100)</f>
        <v/>
      </c>
      <c r="I214" s="57">
        <f>IF(OR(G214="",G214=0,F214=""),"",F214/G214)</f>
        <v/>
      </c>
      <c r="J214" s="38" t="n"/>
      <c r="K214" s="38" t="n"/>
      <c r="L214" s="38" t="n"/>
    </row>
    <row r="215">
      <c r="A215" s="33" t="n"/>
      <c r="B215" s="32" t="n"/>
      <c r="C215" s="41" t="n"/>
      <c r="D215" s="58" t="n"/>
      <c r="E215" s="59" t="n"/>
      <c r="F215" s="55">
        <f>IF(OR(D215="",E215=""),"",D215*E215)</f>
        <v/>
      </c>
      <c r="G215" s="48">
        <f>IF(OR(B215="",C215=""),"",IFERROR(IF(MAXIFS($C$4:C214,$B$4:B214,B215)=0,"",C215-MAXIFS($C$4:C214,$B$4:B214,B215)),""))</f>
        <v/>
      </c>
      <c r="H215" s="56">
        <f>IF(OR(G215="",G215=0,D215=""),"",D215/G215*100)</f>
        <v/>
      </c>
      <c r="I215" s="57">
        <f>IF(OR(G215="",G215=0,F215=""),"",F215/G215)</f>
        <v/>
      </c>
      <c r="J215" s="40" t="n"/>
      <c r="K215" s="40" t="n"/>
      <c r="L215" s="40" t="n"/>
    </row>
    <row r="216">
      <c r="A216" s="35" t="n"/>
      <c r="B216" s="34" t="n"/>
      <c r="C216" s="39" t="n"/>
      <c r="D216" s="53" t="n"/>
      <c r="E216" s="54" t="n"/>
      <c r="F216" s="55">
        <f>IF(OR(D216="",E216=""),"",D216*E216)</f>
        <v/>
      </c>
      <c r="G216" s="48">
        <f>IF(OR(B216="",C216=""),"",IFERROR(IF(MAXIFS($C$4:C215,$B$4:B215,B216)=0,"",C216-MAXIFS($C$4:C215,$B$4:B215,B216)),""))</f>
        <v/>
      </c>
      <c r="H216" s="56">
        <f>IF(OR(G216="",G216=0,D216=""),"",D216/G216*100)</f>
        <v/>
      </c>
      <c r="I216" s="57">
        <f>IF(OR(G216="",G216=0,F216=""),"",F216/G216)</f>
        <v/>
      </c>
      <c r="J216" s="38" t="n"/>
      <c r="K216" s="38" t="n"/>
      <c r="L216" s="38" t="n"/>
    </row>
    <row r="217">
      <c r="A217" s="33" t="n"/>
      <c r="B217" s="32" t="n"/>
      <c r="C217" s="41" t="n"/>
      <c r="D217" s="58" t="n"/>
      <c r="E217" s="59" t="n"/>
      <c r="F217" s="55">
        <f>IF(OR(D217="",E217=""),"",D217*E217)</f>
        <v/>
      </c>
      <c r="G217" s="48">
        <f>IF(OR(B217="",C217=""),"",IFERROR(IF(MAXIFS($C$4:C216,$B$4:B216,B217)=0,"",C217-MAXIFS($C$4:C216,$B$4:B216,B217)),""))</f>
        <v/>
      </c>
      <c r="H217" s="56">
        <f>IF(OR(G217="",G217=0,D217=""),"",D217/G217*100)</f>
        <v/>
      </c>
      <c r="I217" s="57">
        <f>IF(OR(G217="",G217=0,F217=""),"",F217/G217)</f>
        <v/>
      </c>
      <c r="J217" s="40" t="n"/>
      <c r="K217" s="40" t="n"/>
      <c r="L217" s="40" t="n"/>
    </row>
    <row r="218">
      <c r="A218" s="35" t="n"/>
      <c r="B218" s="34" t="n"/>
      <c r="C218" s="39" t="n"/>
      <c r="D218" s="53" t="n"/>
      <c r="E218" s="54" t="n"/>
      <c r="F218" s="55">
        <f>IF(OR(D218="",E218=""),"",D218*E218)</f>
        <v/>
      </c>
      <c r="G218" s="48">
        <f>IF(OR(B218="",C218=""),"",IFERROR(IF(MAXIFS($C$4:C217,$B$4:B217,B218)=0,"",C218-MAXIFS($C$4:C217,$B$4:B217,B218)),""))</f>
        <v/>
      </c>
      <c r="H218" s="56">
        <f>IF(OR(G218="",G218=0,D218=""),"",D218/G218*100)</f>
        <v/>
      </c>
      <c r="I218" s="57">
        <f>IF(OR(G218="",G218=0,F218=""),"",F218/G218)</f>
        <v/>
      </c>
      <c r="J218" s="38" t="n"/>
      <c r="K218" s="38" t="n"/>
      <c r="L218" s="38" t="n"/>
    </row>
    <row r="219">
      <c r="A219" s="33" t="n"/>
      <c r="B219" s="32" t="n"/>
      <c r="C219" s="41" t="n"/>
      <c r="D219" s="58" t="n"/>
      <c r="E219" s="59" t="n"/>
      <c r="F219" s="55">
        <f>IF(OR(D219="",E219=""),"",D219*E219)</f>
        <v/>
      </c>
      <c r="G219" s="48">
        <f>IF(OR(B219="",C219=""),"",IFERROR(IF(MAXIFS($C$4:C218,$B$4:B218,B219)=0,"",C219-MAXIFS($C$4:C218,$B$4:B218,B219)),""))</f>
        <v/>
      </c>
      <c r="H219" s="56">
        <f>IF(OR(G219="",G219=0,D219=""),"",D219/G219*100)</f>
        <v/>
      </c>
      <c r="I219" s="57">
        <f>IF(OR(G219="",G219=0,F219=""),"",F219/G219)</f>
        <v/>
      </c>
      <c r="J219" s="40" t="n"/>
      <c r="K219" s="40" t="n"/>
      <c r="L219" s="40" t="n"/>
    </row>
    <row r="220">
      <c r="A220" s="35" t="n"/>
      <c r="B220" s="34" t="n"/>
      <c r="C220" s="39" t="n"/>
      <c r="D220" s="53" t="n"/>
      <c r="E220" s="54" t="n"/>
      <c r="F220" s="55">
        <f>IF(OR(D220="",E220=""),"",D220*E220)</f>
        <v/>
      </c>
      <c r="G220" s="48">
        <f>IF(OR(B220="",C220=""),"",IFERROR(IF(MAXIFS($C$4:C219,$B$4:B219,B220)=0,"",C220-MAXIFS($C$4:C219,$B$4:B219,B220)),""))</f>
        <v/>
      </c>
      <c r="H220" s="56">
        <f>IF(OR(G220="",G220=0,D220=""),"",D220/G220*100)</f>
        <v/>
      </c>
      <c r="I220" s="57">
        <f>IF(OR(G220="",G220=0,F220=""),"",F220/G220)</f>
        <v/>
      </c>
      <c r="J220" s="38" t="n"/>
      <c r="K220" s="38" t="n"/>
      <c r="L220" s="38" t="n"/>
    </row>
    <row r="221">
      <c r="A221" s="33" t="n"/>
      <c r="B221" s="32" t="n"/>
      <c r="C221" s="41" t="n"/>
      <c r="D221" s="58" t="n"/>
      <c r="E221" s="59" t="n"/>
      <c r="F221" s="55">
        <f>IF(OR(D221="",E221=""),"",D221*E221)</f>
        <v/>
      </c>
      <c r="G221" s="48">
        <f>IF(OR(B221="",C221=""),"",IFERROR(IF(MAXIFS($C$4:C220,$B$4:B220,B221)=0,"",C221-MAXIFS($C$4:C220,$B$4:B220,B221)),""))</f>
        <v/>
      </c>
      <c r="H221" s="56">
        <f>IF(OR(G221="",G221=0,D221=""),"",D221/G221*100)</f>
        <v/>
      </c>
      <c r="I221" s="57">
        <f>IF(OR(G221="",G221=0,F221=""),"",F221/G221)</f>
        <v/>
      </c>
      <c r="J221" s="40" t="n"/>
      <c r="K221" s="40" t="n"/>
      <c r="L221" s="40" t="n"/>
    </row>
    <row r="222">
      <c r="A222" s="35" t="n"/>
      <c r="B222" s="34" t="n"/>
      <c r="C222" s="39" t="n"/>
      <c r="D222" s="53" t="n"/>
      <c r="E222" s="54" t="n"/>
      <c r="F222" s="55">
        <f>IF(OR(D222="",E222=""),"",D222*E222)</f>
        <v/>
      </c>
      <c r="G222" s="48">
        <f>IF(OR(B222="",C222=""),"",IFERROR(IF(MAXIFS($C$4:C221,$B$4:B221,B222)=0,"",C222-MAXIFS($C$4:C221,$B$4:B221,B222)),""))</f>
        <v/>
      </c>
      <c r="H222" s="56">
        <f>IF(OR(G222="",G222=0,D222=""),"",D222/G222*100)</f>
        <v/>
      </c>
      <c r="I222" s="57">
        <f>IF(OR(G222="",G222=0,F222=""),"",F222/G222)</f>
        <v/>
      </c>
      <c r="J222" s="38" t="n"/>
      <c r="K222" s="38" t="n"/>
      <c r="L222" s="38" t="n"/>
    </row>
    <row r="223">
      <c r="A223" s="33" t="n"/>
      <c r="B223" s="32" t="n"/>
      <c r="C223" s="41" t="n"/>
      <c r="D223" s="58" t="n"/>
      <c r="E223" s="59" t="n"/>
      <c r="F223" s="55">
        <f>IF(OR(D223="",E223=""),"",D223*E223)</f>
        <v/>
      </c>
      <c r="G223" s="48">
        <f>IF(OR(B223="",C223=""),"",IFERROR(IF(MAXIFS($C$4:C222,$B$4:B222,B223)=0,"",C223-MAXIFS($C$4:C222,$B$4:B222,B223)),""))</f>
        <v/>
      </c>
      <c r="H223" s="56">
        <f>IF(OR(G223="",G223=0,D223=""),"",D223/G223*100)</f>
        <v/>
      </c>
      <c r="I223" s="57">
        <f>IF(OR(G223="",G223=0,F223=""),"",F223/G223)</f>
        <v/>
      </c>
      <c r="J223" s="40" t="n"/>
      <c r="K223" s="40" t="n"/>
      <c r="L223" s="40" t="n"/>
    </row>
    <row r="224">
      <c r="A224" s="35" t="n"/>
      <c r="B224" s="34" t="n"/>
      <c r="C224" s="39" t="n"/>
      <c r="D224" s="53" t="n"/>
      <c r="E224" s="54" t="n"/>
      <c r="F224" s="55">
        <f>IF(OR(D224="",E224=""),"",D224*E224)</f>
        <v/>
      </c>
      <c r="G224" s="48">
        <f>IF(OR(B224="",C224=""),"",IFERROR(IF(MAXIFS($C$4:C223,$B$4:B223,B224)=0,"",C224-MAXIFS($C$4:C223,$B$4:B223,B224)),""))</f>
        <v/>
      </c>
      <c r="H224" s="56">
        <f>IF(OR(G224="",G224=0,D224=""),"",D224/G224*100)</f>
        <v/>
      </c>
      <c r="I224" s="57">
        <f>IF(OR(G224="",G224=0,F224=""),"",F224/G224)</f>
        <v/>
      </c>
      <c r="J224" s="38" t="n"/>
      <c r="K224" s="38" t="n"/>
      <c r="L224" s="38" t="n"/>
    </row>
    <row r="225">
      <c r="A225" s="33" t="n"/>
      <c r="B225" s="32" t="n"/>
      <c r="C225" s="41" t="n"/>
      <c r="D225" s="58" t="n"/>
      <c r="E225" s="59" t="n"/>
      <c r="F225" s="55">
        <f>IF(OR(D225="",E225=""),"",D225*E225)</f>
        <v/>
      </c>
      <c r="G225" s="48">
        <f>IF(OR(B225="",C225=""),"",IFERROR(IF(MAXIFS($C$4:C224,$B$4:B224,B225)=0,"",C225-MAXIFS($C$4:C224,$B$4:B224,B225)),""))</f>
        <v/>
      </c>
      <c r="H225" s="56">
        <f>IF(OR(G225="",G225=0,D225=""),"",D225/G225*100)</f>
        <v/>
      </c>
      <c r="I225" s="57">
        <f>IF(OR(G225="",G225=0,F225=""),"",F225/G225)</f>
        <v/>
      </c>
      <c r="J225" s="40" t="n"/>
      <c r="K225" s="40" t="n"/>
      <c r="L225" s="40" t="n"/>
    </row>
    <row r="226">
      <c r="A226" s="35" t="n"/>
      <c r="B226" s="34" t="n"/>
      <c r="C226" s="39" t="n"/>
      <c r="D226" s="53" t="n"/>
      <c r="E226" s="54" t="n"/>
      <c r="F226" s="55">
        <f>IF(OR(D226="",E226=""),"",D226*E226)</f>
        <v/>
      </c>
      <c r="G226" s="48">
        <f>IF(OR(B226="",C226=""),"",IFERROR(IF(MAXIFS($C$4:C225,$B$4:B225,B226)=0,"",C226-MAXIFS($C$4:C225,$B$4:B225,B226)),""))</f>
        <v/>
      </c>
      <c r="H226" s="56">
        <f>IF(OR(G226="",G226=0,D226=""),"",D226/G226*100)</f>
        <v/>
      </c>
      <c r="I226" s="57">
        <f>IF(OR(G226="",G226=0,F226=""),"",F226/G226)</f>
        <v/>
      </c>
      <c r="J226" s="38" t="n"/>
      <c r="K226" s="38" t="n"/>
      <c r="L226" s="38" t="n"/>
    </row>
    <row r="227">
      <c r="A227" s="33" t="n"/>
      <c r="B227" s="32" t="n"/>
      <c r="C227" s="41" t="n"/>
      <c r="D227" s="58" t="n"/>
      <c r="E227" s="59" t="n"/>
      <c r="F227" s="55">
        <f>IF(OR(D227="",E227=""),"",D227*E227)</f>
        <v/>
      </c>
      <c r="G227" s="48">
        <f>IF(OR(B227="",C227=""),"",IFERROR(IF(MAXIFS($C$4:C226,$B$4:B226,B227)=0,"",C227-MAXIFS($C$4:C226,$B$4:B226,B227)),""))</f>
        <v/>
      </c>
      <c r="H227" s="56">
        <f>IF(OR(G227="",G227=0,D227=""),"",D227/G227*100)</f>
        <v/>
      </c>
      <c r="I227" s="57">
        <f>IF(OR(G227="",G227=0,F227=""),"",F227/G227)</f>
        <v/>
      </c>
      <c r="J227" s="40" t="n"/>
      <c r="K227" s="40" t="n"/>
      <c r="L227" s="40" t="n"/>
    </row>
    <row r="228">
      <c r="A228" s="35" t="n"/>
      <c r="B228" s="34" t="n"/>
      <c r="C228" s="39" t="n"/>
      <c r="D228" s="53" t="n"/>
      <c r="E228" s="54" t="n"/>
      <c r="F228" s="55">
        <f>IF(OR(D228="",E228=""),"",D228*E228)</f>
        <v/>
      </c>
      <c r="G228" s="48">
        <f>IF(OR(B228="",C228=""),"",IFERROR(IF(MAXIFS($C$4:C227,$B$4:B227,B228)=0,"",C228-MAXIFS($C$4:C227,$B$4:B227,B228)),""))</f>
        <v/>
      </c>
      <c r="H228" s="56">
        <f>IF(OR(G228="",G228=0,D228=""),"",D228/G228*100)</f>
        <v/>
      </c>
      <c r="I228" s="57">
        <f>IF(OR(G228="",G228=0,F228=""),"",F228/G228)</f>
        <v/>
      </c>
      <c r="J228" s="38" t="n"/>
      <c r="K228" s="38" t="n"/>
      <c r="L228" s="38" t="n"/>
    </row>
    <row r="229">
      <c r="A229" s="33" t="n"/>
      <c r="B229" s="32" t="n"/>
      <c r="C229" s="41" t="n"/>
      <c r="D229" s="58" t="n"/>
      <c r="E229" s="59" t="n"/>
      <c r="F229" s="55">
        <f>IF(OR(D229="",E229=""),"",D229*E229)</f>
        <v/>
      </c>
      <c r="G229" s="48">
        <f>IF(OR(B229="",C229=""),"",IFERROR(IF(MAXIFS($C$4:C228,$B$4:B228,B229)=0,"",C229-MAXIFS($C$4:C228,$B$4:B228,B229)),""))</f>
        <v/>
      </c>
      <c r="H229" s="56">
        <f>IF(OR(G229="",G229=0,D229=""),"",D229/G229*100)</f>
        <v/>
      </c>
      <c r="I229" s="57">
        <f>IF(OR(G229="",G229=0,F229=""),"",F229/G229)</f>
        <v/>
      </c>
      <c r="J229" s="40" t="n"/>
      <c r="K229" s="40" t="n"/>
      <c r="L229" s="40" t="n"/>
    </row>
    <row r="230">
      <c r="A230" s="35" t="n"/>
      <c r="B230" s="34" t="n"/>
      <c r="C230" s="39" t="n"/>
      <c r="D230" s="53" t="n"/>
      <c r="E230" s="54" t="n"/>
      <c r="F230" s="55">
        <f>IF(OR(D230="",E230=""),"",D230*E230)</f>
        <v/>
      </c>
      <c r="G230" s="48">
        <f>IF(OR(B230="",C230=""),"",IFERROR(IF(MAXIFS($C$4:C229,$B$4:B229,B230)=0,"",C230-MAXIFS($C$4:C229,$B$4:B229,B230)),""))</f>
        <v/>
      </c>
      <c r="H230" s="56">
        <f>IF(OR(G230="",G230=0,D230=""),"",D230/G230*100)</f>
        <v/>
      </c>
      <c r="I230" s="57">
        <f>IF(OR(G230="",G230=0,F230=""),"",F230/G230)</f>
        <v/>
      </c>
      <c r="J230" s="38" t="n"/>
      <c r="K230" s="38" t="n"/>
      <c r="L230" s="38" t="n"/>
    </row>
    <row r="231">
      <c r="A231" s="33" t="n"/>
      <c r="B231" s="32" t="n"/>
      <c r="C231" s="41" t="n"/>
      <c r="D231" s="58" t="n"/>
      <c r="E231" s="59" t="n"/>
      <c r="F231" s="55">
        <f>IF(OR(D231="",E231=""),"",D231*E231)</f>
        <v/>
      </c>
      <c r="G231" s="48">
        <f>IF(OR(B231="",C231=""),"",IFERROR(IF(MAXIFS($C$4:C230,$B$4:B230,B231)=0,"",C231-MAXIFS($C$4:C230,$B$4:B230,B231)),""))</f>
        <v/>
      </c>
      <c r="H231" s="56">
        <f>IF(OR(G231="",G231=0,D231=""),"",D231/G231*100)</f>
        <v/>
      </c>
      <c r="I231" s="57">
        <f>IF(OR(G231="",G231=0,F231=""),"",F231/G231)</f>
        <v/>
      </c>
      <c r="J231" s="40" t="n"/>
      <c r="K231" s="40" t="n"/>
      <c r="L231" s="40" t="n"/>
    </row>
    <row r="232">
      <c r="A232" s="35" t="n"/>
      <c r="B232" s="34" t="n"/>
      <c r="C232" s="39" t="n"/>
      <c r="D232" s="53" t="n"/>
      <c r="E232" s="54" t="n"/>
      <c r="F232" s="55">
        <f>IF(OR(D232="",E232=""),"",D232*E232)</f>
        <v/>
      </c>
      <c r="G232" s="48">
        <f>IF(OR(B232="",C232=""),"",IFERROR(IF(MAXIFS($C$4:C231,$B$4:B231,B232)=0,"",C232-MAXIFS($C$4:C231,$B$4:B231,B232)),""))</f>
        <v/>
      </c>
      <c r="H232" s="56">
        <f>IF(OR(G232="",G232=0,D232=""),"",D232/G232*100)</f>
        <v/>
      </c>
      <c r="I232" s="57">
        <f>IF(OR(G232="",G232=0,F232=""),"",F232/G232)</f>
        <v/>
      </c>
      <c r="J232" s="38" t="n"/>
      <c r="K232" s="38" t="n"/>
      <c r="L232" s="38" t="n"/>
    </row>
    <row r="233">
      <c r="A233" s="33" t="n"/>
      <c r="B233" s="32" t="n"/>
      <c r="C233" s="41" t="n"/>
      <c r="D233" s="58" t="n"/>
      <c r="E233" s="59" t="n"/>
      <c r="F233" s="55">
        <f>IF(OR(D233="",E233=""),"",D233*E233)</f>
        <v/>
      </c>
      <c r="G233" s="48">
        <f>IF(OR(B233="",C233=""),"",IFERROR(IF(MAXIFS($C$4:C232,$B$4:B232,B233)=0,"",C233-MAXIFS($C$4:C232,$B$4:B232,B233)),""))</f>
        <v/>
      </c>
      <c r="H233" s="56">
        <f>IF(OR(G233="",G233=0,D233=""),"",D233/G233*100)</f>
        <v/>
      </c>
      <c r="I233" s="57">
        <f>IF(OR(G233="",G233=0,F233=""),"",F233/G233)</f>
        <v/>
      </c>
      <c r="J233" s="40" t="n"/>
      <c r="K233" s="40" t="n"/>
      <c r="L233" s="40" t="n"/>
    </row>
    <row r="234">
      <c r="A234" s="35" t="n"/>
      <c r="B234" s="34" t="n"/>
      <c r="C234" s="39" t="n"/>
      <c r="D234" s="53" t="n"/>
      <c r="E234" s="54" t="n"/>
      <c r="F234" s="55">
        <f>IF(OR(D234="",E234=""),"",D234*E234)</f>
        <v/>
      </c>
      <c r="G234" s="48">
        <f>IF(OR(B234="",C234=""),"",IFERROR(IF(MAXIFS($C$4:C233,$B$4:B233,B234)=0,"",C234-MAXIFS($C$4:C233,$B$4:B233,B234)),""))</f>
        <v/>
      </c>
      <c r="H234" s="56">
        <f>IF(OR(G234="",G234=0,D234=""),"",D234/G234*100)</f>
        <v/>
      </c>
      <c r="I234" s="57">
        <f>IF(OR(G234="",G234=0,F234=""),"",F234/G234)</f>
        <v/>
      </c>
      <c r="J234" s="38" t="n"/>
      <c r="K234" s="38" t="n"/>
      <c r="L234" s="38" t="n"/>
    </row>
    <row r="235">
      <c r="A235" s="33" t="n"/>
      <c r="B235" s="32" t="n"/>
      <c r="C235" s="41" t="n"/>
      <c r="D235" s="58" t="n"/>
      <c r="E235" s="59" t="n"/>
      <c r="F235" s="55">
        <f>IF(OR(D235="",E235=""),"",D235*E235)</f>
        <v/>
      </c>
      <c r="G235" s="48">
        <f>IF(OR(B235="",C235=""),"",IFERROR(IF(MAXIFS($C$4:C234,$B$4:B234,B235)=0,"",C235-MAXIFS($C$4:C234,$B$4:B234,B235)),""))</f>
        <v/>
      </c>
      <c r="H235" s="56">
        <f>IF(OR(G235="",G235=0,D235=""),"",D235/G235*100)</f>
        <v/>
      </c>
      <c r="I235" s="57">
        <f>IF(OR(G235="",G235=0,F235=""),"",F235/G235)</f>
        <v/>
      </c>
      <c r="J235" s="40" t="n"/>
      <c r="K235" s="40" t="n"/>
      <c r="L235" s="40" t="n"/>
    </row>
    <row r="236">
      <c r="A236" s="35" t="n"/>
      <c r="B236" s="34" t="n"/>
      <c r="C236" s="39" t="n"/>
      <c r="D236" s="53" t="n"/>
      <c r="E236" s="54" t="n"/>
      <c r="F236" s="55">
        <f>IF(OR(D236="",E236=""),"",D236*E236)</f>
        <v/>
      </c>
      <c r="G236" s="48">
        <f>IF(OR(B236="",C236=""),"",IFERROR(IF(MAXIFS($C$4:C235,$B$4:B235,B236)=0,"",C236-MAXIFS($C$4:C235,$B$4:B235,B236)),""))</f>
        <v/>
      </c>
      <c r="H236" s="56">
        <f>IF(OR(G236="",G236=0,D236=""),"",D236/G236*100)</f>
        <v/>
      </c>
      <c r="I236" s="57">
        <f>IF(OR(G236="",G236=0,F236=""),"",F236/G236)</f>
        <v/>
      </c>
      <c r="J236" s="38" t="n"/>
      <c r="K236" s="38" t="n"/>
      <c r="L236" s="38" t="n"/>
    </row>
    <row r="237">
      <c r="A237" s="33" t="n"/>
      <c r="B237" s="32" t="n"/>
      <c r="C237" s="41" t="n"/>
      <c r="D237" s="58" t="n"/>
      <c r="E237" s="59" t="n"/>
      <c r="F237" s="55">
        <f>IF(OR(D237="",E237=""),"",D237*E237)</f>
        <v/>
      </c>
      <c r="G237" s="48">
        <f>IF(OR(B237="",C237=""),"",IFERROR(IF(MAXIFS($C$4:C236,$B$4:B236,B237)=0,"",C237-MAXIFS($C$4:C236,$B$4:B236,B237)),""))</f>
        <v/>
      </c>
      <c r="H237" s="56">
        <f>IF(OR(G237="",G237=0,D237=""),"",D237/G237*100)</f>
        <v/>
      </c>
      <c r="I237" s="57">
        <f>IF(OR(G237="",G237=0,F237=""),"",F237/G237)</f>
        <v/>
      </c>
      <c r="J237" s="40" t="n"/>
      <c r="K237" s="40" t="n"/>
      <c r="L237" s="40" t="n"/>
    </row>
    <row r="238">
      <c r="A238" s="35" t="n"/>
      <c r="B238" s="34" t="n"/>
      <c r="C238" s="39" t="n"/>
      <c r="D238" s="53" t="n"/>
      <c r="E238" s="54" t="n"/>
      <c r="F238" s="55">
        <f>IF(OR(D238="",E238=""),"",D238*E238)</f>
        <v/>
      </c>
      <c r="G238" s="48">
        <f>IF(OR(B238="",C238=""),"",IFERROR(IF(MAXIFS($C$4:C237,$B$4:B237,B238)=0,"",C238-MAXIFS($C$4:C237,$B$4:B237,B238)),""))</f>
        <v/>
      </c>
      <c r="H238" s="56">
        <f>IF(OR(G238="",G238=0,D238=""),"",D238/G238*100)</f>
        <v/>
      </c>
      <c r="I238" s="57">
        <f>IF(OR(G238="",G238=0,F238=""),"",F238/G238)</f>
        <v/>
      </c>
      <c r="J238" s="38" t="n"/>
      <c r="K238" s="38" t="n"/>
      <c r="L238" s="38" t="n"/>
    </row>
    <row r="239">
      <c r="A239" s="33" t="n"/>
      <c r="B239" s="32" t="n"/>
      <c r="C239" s="41" t="n"/>
      <c r="D239" s="58" t="n"/>
      <c r="E239" s="59" t="n"/>
      <c r="F239" s="55">
        <f>IF(OR(D239="",E239=""),"",D239*E239)</f>
        <v/>
      </c>
      <c r="G239" s="48">
        <f>IF(OR(B239="",C239=""),"",IFERROR(IF(MAXIFS($C$4:C238,$B$4:B238,B239)=0,"",C239-MAXIFS($C$4:C238,$B$4:B238,B239)),""))</f>
        <v/>
      </c>
      <c r="H239" s="56">
        <f>IF(OR(G239="",G239=0,D239=""),"",D239/G239*100)</f>
        <v/>
      </c>
      <c r="I239" s="57">
        <f>IF(OR(G239="",G239=0,F239=""),"",F239/G239)</f>
        <v/>
      </c>
      <c r="J239" s="40" t="n"/>
      <c r="K239" s="40" t="n"/>
      <c r="L239" s="40" t="n"/>
    </row>
    <row r="240">
      <c r="A240" s="35" t="n"/>
      <c r="B240" s="34" t="n"/>
      <c r="C240" s="39" t="n"/>
      <c r="D240" s="53" t="n"/>
      <c r="E240" s="54" t="n"/>
      <c r="F240" s="55">
        <f>IF(OR(D240="",E240=""),"",D240*E240)</f>
        <v/>
      </c>
      <c r="G240" s="48">
        <f>IF(OR(B240="",C240=""),"",IFERROR(IF(MAXIFS($C$4:C239,$B$4:B239,B240)=0,"",C240-MAXIFS($C$4:C239,$B$4:B239,B240)),""))</f>
        <v/>
      </c>
      <c r="H240" s="56">
        <f>IF(OR(G240="",G240=0,D240=""),"",D240/G240*100)</f>
        <v/>
      </c>
      <c r="I240" s="57">
        <f>IF(OR(G240="",G240=0,F240=""),"",F240/G240)</f>
        <v/>
      </c>
      <c r="J240" s="38" t="n"/>
      <c r="K240" s="38" t="n"/>
      <c r="L240" s="38" t="n"/>
    </row>
    <row r="241">
      <c r="A241" s="33" t="n"/>
      <c r="B241" s="32" t="n"/>
      <c r="C241" s="41" t="n"/>
      <c r="D241" s="58" t="n"/>
      <c r="E241" s="59" t="n"/>
      <c r="F241" s="55">
        <f>IF(OR(D241="",E241=""),"",D241*E241)</f>
        <v/>
      </c>
      <c r="G241" s="48">
        <f>IF(OR(B241="",C241=""),"",IFERROR(IF(MAXIFS($C$4:C240,$B$4:B240,B241)=0,"",C241-MAXIFS($C$4:C240,$B$4:B240,B241)),""))</f>
        <v/>
      </c>
      <c r="H241" s="56">
        <f>IF(OR(G241="",G241=0,D241=""),"",D241/G241*100)</f>
        <v/>
      </c>
      <c r="I241" s="57">
        <f>IF(OR(G241="",G241=0,F241=""),"",F241/G241)</f>
        <v/>
      </c>
      <c r="J241" s="40" t="n"/>
      <c r="K241" s="40" t="n"/>
      <c r="L241" s="40" t="n"/>
    </row>
    <row r="242">
      <c r="A242" s="35" t="n"/>
      <c r="B242" s="34" t="n"/>
      <c r="C242" s="39" t="n"/>
      <c r="D242" s="53" t="n"/>
      <c r="E242" s="54" t="n"/>
      <c r="F242" s="55">
        <f>IF(OR(D242="",E242=""),"",D242*E242)</f>
        <v/>
      </c>
      <c r="G242" s="48">
        <f>IF(OR(B242="",C242=""),"",IFERROR(IF(MAXIFS($C$4:C241,$B$4:B241,B242)=0,"",C242-MAXIFS($C$4:C241,$B$4:B241,B242)),""))</f>
        <v/>
      </c>
      <c r="H242" s="56">
        <f>IF(OR(G242="",G242=0,D242=""),"",D242/G242*100)</f>
        <v/>
      </c>
      <c r="I242" s="57">
        <f>IF(OR(G242="",G242=0,F242=""),"",F242/G242)</f>
        <v/>
      </c>
      <c r="J242" s="38" t="n"/>
      <c r="K242" s="38" t="n"/>
      <c r="L242" s="38" t="n"/>
    </row>
    <row r="243">
      <c r="A243" s="33" t="n"/>
      <c r="B243" s="32" t="n"/>
      <c r="C243" s="41" t="n"/>
      <c r="D243" s="58" t="n"/>
      <c r="E243" s="59" t="n"/>
      <c r="F243" s="55">
        <f>IF(OR(D243="",E243=""),"",D243*E243)</f>
        <v/>
      </c>
      <c r="G243" s="48">
        <f>IF(OR(B243="",C243=""),"",IFERROR(IF(MAXIFS($C$4:C242,$B$4:B242,B243)=0,"",C243-MAXIFS($C$4:C242,$B$4:B242,B243)),""))</f>
        <v/>
      </c>
      <c r="H243" s="56">
        <f>IF(OR(G243="",G243=0,D243=""),"",D243/G243*100)</f>
        <v/>
      </c>
      <c r="I243" s="57">
        <f>IF(OR(G243="",G243=0,F243=""),"",F243/G243)</f>
        <v/>
      </c>
      <c r="J243" s="40" t="n"/>
      <c r="K243" s="40" t="n"/>
      <c r="L243" s="40" t="n"/>
    </row>
    <row r="244">
      <c r="A244" s="35" t="n"/>
      <c r="B244" s="34" t="n"/>
      <c r="C244" s="39" t="n"/>
      <c r="D244" s="53" t="n"/>
      <c r="E244" s="54" t="n"/>
      <c r="F244" s="55">
        <f>IF(OR(D244="",E244=""),"",D244*E244)</f>
        <v/>
      </c>
      <c r="G244" s="48">
        <f>IF(OR(B244="",C244=""),"",IFERROR(IF(MAXIFS($C$4:C243,$B$4:B243,B244)=0,"",C244-MAXIFS($C$4:C243,$B$4:B243,B244)),""))</f>
        <v/>
      </c>
      <c r="H244" s="56">
        <f>IF(OR(G244="",G244=0,D244=""),"",D244/G244*100)</f>
        <v/>
      </c>
      <c r="I244" s="57">
        <f>IF(OR(G244="",G244=0,F244=""),"",F244/G244)</f>
        <v/>
      </c>
      <c r="J244" s="38" t="n"/>
      <c r="K244" s="38" t="n"/>
      <c r="L244" s="38" t="n"/>
    </row>
    <row r="245">
      <c r="A245" s="33" t="n"/>
      <c r="B245" s="32" t="n"/>
      <c r="C245" s="41" t="n"/>
      <c r="D245" s="58" t="n"/>
      <c r="E245" s="59" t="n"/>
      <c r="F245" s="55">
        <f>IF(OR(D245="",E245=""),"",D245*E245)</f>
        <v/>
      </c>
      <c r="G245" s="48">
        <f>IF(OR(B245="",C245=""),"",IFERROR(IF(MAXIFS($C$4:C244,$B$4:B244,B245)=0,"",C245-MAXIFS($C$4:C244,$B$4:B244,B245)),""))</f>
        <v/>
      </c>
      <c r="H245" s="56">
        <f>IF(OR(G245="",G245=0,D245=""),"",D245/G245*100)</f>
        <v/>
      </c>
      <c r="I245" s="57">
        <f>IF(OR(G245="",G245=0,F245=""),"",F245/G245)</f>
        <v/>
      </c>
      <c r="J245" s="40" t="n"/>
      <c r="K245" s="40" t="n"/>
      <c r="L245" s="40" t="n"/>
    </row>
    <row r="246">
      <c r="A246" s="35" t="n"/>
      <c r="B246" s="34" t="n"/>
      <c r="C246" s="39" t="n"/>
      <c r="D246" s="53" t="n"/>
      <c r="E246" s="54" t="n"/>
      <c r="F246" s="55">
        <f>IF(OR(D246="",E246=""),"",D246*E246)</f>
        <v/>
      </c>
      <c r="G246" s="48">
        <f>IF(OR(B246="",C246=""),"",IFERROR(IF(MAXIFS($C$4:C245,$B$4:B245,B246)=0,"",C246-MAXIFS($C$4:C245,$B$4:B245,B246)),""))</f>
        <v/>
      </c>
      <c r="H246" s="56">
        <f>IF(OR(G246="",G246=0,D246=""),"",D246/G246*100)</f>
        <v/>
      </c>
      <c r="I246" s="57">
        <f>IF(OR(G246="",G246=0,F246=""),"",F246/G246)</f>
        <v/>
      </c>
      <c r="J246" s="38" t="n"/>
      <c r="K246" s="38" t="n"/>
      <c r="L246" s="38" t="n"/>
    </row>
    <row r="247">
      <c r="A247" s="33" t="n"/>
      <c r="B247" s="32" t="n"/>
      <c r="C247" s="41" t="n"/>
      <c r="D247" s="58" t="n"/>
      <c r="E247" s="59" t="n"/>
      <c r="F247" s="55">
        <f>IF(OR(D247="",E247=""),"",D247*E247)</f>
        <v/>
      </c>
      <c r="G247" s="48">
        <f>IF(OR(B247="",C247=""),"",IFERROR(IF(MAXIFS($C$4:C246,$B$4:B246,B247)=0,"",C247-MAXIFS($C$4:C246,$B$4:B246,B247)),""))</f>
        <v/>
      </c>
      <c r="H247" s="56">
        <f>IF(OR(G247="",G247=0,D247=""),"",D247/G247*100)</f>
        <v/>
      </c>
      <c r="I247" s="57">
        <f>IF(OR(G247="",G247=0,F247=""),"",F247/G247)</f>
        <v/>
      </c>
      <c r="J247" s="40" t="n"/>
      <c r="K247" s="40" t="n"/>
      <c r="L247" s="40" t="n"/>
    </row>
    <row r="248">
      <c r="A248" s="35" t="n"/>
      <c r="B248" s="34" t="n"/>
      <c r="C248" s="39" t="n"/>
      <c r="D248" s="53" t="n"/>
      <c r="E248" s="54" t="n"/>
      <c r="F248" s="55">
        <f>IF(OR(D248="",E248=""),"",D248*E248)</f>
        <v/>
      </c>
      <c r="G248" s="48">
        <f>IF(OR(B248="",C248=""),"",IFERROR(IF(MAXIFS($C$4:C247,$B$4:B247,B248)=0,"",C248-MAXIFS($C$4:C247,$B$4:B247,B248)),""))</f>
        <v/>
      </c>
      <c r="H248" s="56">
        <f>IF(OR(G248="",G248=0,D248=""),"",D248/G248*100)</f>
        <v/>
      </c>
      <c r="I248" s="57">
        <f>IF(OR(G248="",G248=0,F248=""),"",F248/G248)</f>
        <v/>
      </c>
      <c r="J248" s="38" t="n"/>
      <c r="K248" s="38" t="n"/>
      <c r="L248" s="38" t="n"/>
    </row>
    <row r="249">
      <c r="A249" s="33" t="n"/>
      <c r="B249" s="32" t="n"/>
      <c r="C249" s="41" t="n"/>
      <c r="D249" s="58" t="n"/>
      <c r="E249" s="59" t="n"/>
      <c r="F249" s="55">
        <f>IF(OR(D249="",E249=""),"",D249*E249)</f>
        <v/>
      </c>
      <c r="G249" s="48">
        <f>IF(OR(B249="",C249=""),"",IFERROR(IF(MAXIFS($C$4:C248,$B$4:B248,B249)=0,"",C249-MAXIFS($C$4:C248,$B$4:B248,B249)),""))</f>
        <v/>
      </c>
      <c r="H249" s="56">
        <f>IF(OR(G249="",G249=0,D249=""),"",D249/G249*100)</f>
        <v/>
      </c>
      <c r="I249" s="57">
        <f>IF(OR(G249="",G249=0,F249=""),"",F249/G249)</f>
        <v/>
      </c>
      <c r="J249" s="40" t="n"/>
      <c r="K249" s="40" t="n"/>
      <c r="L249" s="40" t="n"/>
    </row>
    <row r="250">
      <c r="A250" s="35" t="n"/>
      <c r="B250" s="34" t="n"/>
      <c r="C250" s="39" t="n"/>
      <c r="D250" s="53" t="n"/>
      <c r="E250" s="54" t="n"/>
      <c r="F250" s="55">
        <f>IF(OR(D250="",E250=""),"",D250*E250)</f>
        <v/>
      </c>
      <c r="G250" s="48">
        <f>IF(OR(B250="",C250=""),"",IFERROR(IF(MAXIFS($C$4:C249,$B$4:B249,B250)=0,"",C250-MAXIFS($C$4:C249,$B$4:B249,B250)),""))</f>
        <v/>
      </c>
      <c r="H250" s="56">
        <f>IF(OR(G250="",G250=0,D250=""),"",D250/G250*100)</f>
        <v/>
      </c>
      <c r="I250" s="57">
        <f>IF(OR(G250="",G250=0,F250=""),"",F250/G250)</f>
        <v/>
      </c>
      <c r="J250" s="38" t="n"/>
      <c r="K250" s="38" t="n"/>
      <c r="L250" s="38" t="n"/>
    </row>
    <row r="251">
      <c r="A251" s="33" t="n"/>
      <c r="B251" s="32" t="n"/>
      <c r="C251" s="41" t="n"/>
      <c r="D251" s="58" t="n"/>
      <c r="E251" s="59" t="n"/>
      <c r="F251" s="55">
        <f>IF(OR(D251="",E251=""),"",D251*E251)</f>
        <v/>
      </c>
      <c r="G251" s="48">
        <f>IF(OR(B251="",C251=""),"",IFERROR(IF(MAXIFS($C$4:C250,$B$4:B250,B251)=0,"",C251-MAXIFS($C$4:C250,$B$4:B250,B251)),""))</f>
        <v/>
      </c>
      <c r="H251" s="56">
        <f>IF(OR(G251="",G251=0,D251=""),"",D251/G251*100)</f>
        <v/>
      </c>
      <c r="I251" s="57">
        <f>IF(OR(G251="",G251=0,F251=""),"",F251/G251)</f>
        <v/>
      </c>
      <c r="J251" s="40" t="n"/>
      <c r="K251" s="40" t="n"/>
      <c r="L251" s="40" t="n"/>
    </row>
    <row r="252">
      <c r="A252" s="35" t="n"/>
      <c r="B252" s="34" t="n"/>
      <c r="C252" s="39" t="n"/>
      <c r="D252" s="53" t="n"/>
      <c r="E252" s="54" t="n"/>
      <c r="F252" s="55">
        <f>IF(OR(D252="",E252=""),"",D252*E252)</f>
        <v/>
      </c>
      <c r="G252" s="48">
        <f>IF(OR(B252="",C252=""),"",IFERROR(IF(MAXIFS($C$4:C251,$B$4:B251,B252)=0,"",C252-MAXIFS($C$4:C251,$B$4:B251,B252)),""))</f>
        <v/>
      </c>
      <c r="H252" s="56">
        <f>IF(OR(G252="",G252=0,D252=""),"",D252/G252*100)</f>
        <v/>
      </c>
      <c r="I252" s="57">
        <f>IF(OR(G252="",G252=0,F252=""),"",F252/G252)</f>
        <v/>
      </c>
      <c r="J252" s="38" t="n"/>
      <c r="K252" s="38" t="n"/>
      <c r="L252" s="38" t="n"/>
    </row>
    <row r="253">
      <c r="A253" s="33" t="n"/>
      <c r="B253" s="32" t="n"/>
      <c r="C253" s="41" t="n"/>
      <c r="D253" s="58" t="n"/>
      <c r="E253" s="59" t="n"/>
      <c r="F253" s="55">
        <f>IF(OR(D253="",E253=""),"",D253*E253)</f>
        <v/>
      </c>
      <c r="G253" s="48">
        <f>IF(OR(B253="",C253=""),"",IFERROR(IF(MAXIFS($C$4:C252,$B$4:B252,B253)=0,"",C253-MAXIFS($C$4:C252,$B$4:B252,B253)),""))</f>
        <v/>
      </c>
      <c r="H253" s="56">
        <f>IF(OR(G253="",G253=0,D253=""),"",D253/G253*100)</f>
        <v/>
      </c>
      <c r="I253" s="57">
        <f>IF(OR(G253="",G253=0,F253=""),"",F253/G253)</f>
        <v/>
      </c>
      <c r="J253" s="40" t="n"/>
      <c r="K253" s="40" t="n"/>
      <c r="L253" s="40" t="n"/>
    </row>
    <row r="254">
      <c r="A254" s="35" t="n"/>
      <c r="B254" s="34" t="n"/>
      <c r="C254" s="39" t="n"/>
      <c r="D254" s="53" t="n"/>
      <c r="E254" s="54" t="n"/>
      <c r="F254" s="55">
        <f>IF(OR(D254="",E254=""),"",D254*E254)</f>
        <v/>
      </c>
      <c r="G254" s="48">
        <f>IF(OR(B254="",C254=""),"",IFERROR(IF(MAXIFS($C$4:C253,$B$4:B253,B254)=0,"",C254-MAXIFS($C$4:C253,$B$4:B253,B254)),""))</f>
        <v/>
      </c>
      <c r="H254" s="56">
        <f>IF(OR(G254="",G254=0,D254=""),"",D254/G254*100)</f>
        <v/>
      </c>
      <c r="I254" s="57">
        <f>IF(OR(G254="",G254=0,F254=""),"",F254/G254)</f>
        <v/>
      </c>
      <c r="J254" s="38" t="n"/>
      <c r="K254" s="38" t="n"/>
      <c r="L254" s="38" t="n"/>
    </row>
    <row r="255">
      <c r="A255" s="33" t="n"/>
      <c r="B255" s="32" t="n"/>
      <c r="C255" s="41" t="n"/>
      <c r="D255" s="58" t="n"/>
      <c r="E255" s="59" t="n"/>
      <c r="F255" s="55">
        <f>IF(OR(D255="",E255=""),"",D255*E255)</f>
        <v/>
      </c>
      <c r="G255" s="48">
        <f>IF(OR(B255="",C255=""),"",IFERROR(IF(MAXIFS($C$4:C254,$B$4:B254,B255)=0,"",C255-MAXIFS($C$4:C254,$B$4:B254,B255)),""))</f>
        <v/>
      </c>
      <c r="H255" s="56">
        <f>IF(OR(G255="",G255=0,D255=""),"",D255/G255*100)</f>
        <v/>
      </c>
      <c r="I255" s="57">
        <f>IF(OR(G255="",G255=0,F255=""),"",F255/G255)</f>
        <v/>
      </c>
      <c r="J255" s="40" t="n"/>
      <c r="K255" s="40" t="n"/>
      <c r="L255" s="40" t="n"/>
    </row>
    <row r="256">
      <c r="A256" s="35" t="n"/>
      <c r="B256" s="34" t="n"/>
      <c r="C256" s="39" t="n"/>
      <c r="D256" s="53" t="n"/>
      <c r="E256" s="54" t="n"/>
      <c r="F256" s="55">
        <f>IF(OR(D256="",E256=""),"",D256*E256)</f>
        <v/>
      </c>
      <c r="G256" s="48">
        <f>IF(OR(B256="",C256=""),"",IFERROR(IF(MAXIFS($C$4:C255,$B$4:B255,B256)=0,"",C256-MAXIFS($C$4:C255,$B$4:B255,B256)),""))</f>
        <v/>
      </c>
      <c r="H256" s="56">
        <f>IF(OR(G256="",G256=0,D256=""),"",D256/G256*100)</f>
        <v/>
      </c>
      <c r="I256" s="57">
        <f>IF(OR(G256="",G256=0,F256=""),"",F256/G256)</f>
        <v/>
      </c>
      <c r="J256" s="38" t="n"/>
      <c r="K256" s="38" t="n"/>
      <c r="L256" s="38" t="n"/>
    </row>
    <row r="257">
      <c r="A257" s="33" t="n"/>
      <c r="B257" s="32" t="n"/>
      <c r="C257" s="41" t="n"/>
      <c r="D257" s="58" t="n"/>
      <c r="E257" s="59" t="n"/>
      <c r="F257" s="55">
        <f>IF(OR(D257="",E257=""),"",D257*E257)</f>
        <v/>
      </c>
      <c r="G257" s="48">
        <f>IF(OR(B257="",C257=""),"",IFERROR(IF(MAXIFS($C$4:C256,$B$4:B256,B257)=0,"",C257-MAXIFS($C$4:C256,$B$4:B256,B257)),""))</f>
        <v/>
      </c>
      <c r="H257" s="56">
        <f>IF(OR(G257="",G257=0,D257=""),"",D257/G257*100)</f>
        <v/>
      </c>
      <c r="I257" s="57">
        <f>IF(OR(G257="",G257=0,F257=""),"",F257/G257)</f>
        <v/>
      </c>
      <c r="J257" s="40" t="n"/>
      <c r="K257" s="40" t="n"/>
      <c r="L257" s="40" t="n"/>
    </row>
    <row r="258">
      <c r="A258" s="35" t="n"/>
      <c r="B258" s="34" t="n"/>
      <c r="C258" s="39" t="n"/>
      <c r="D258" s="53" t="n"/>
      <c r="E258" s="54" t="n"/>
      <c r="F258" s="55">
        <f>IF(OR(D258="",E258=""),"",D258*E258)</f>
        <v/>
      </c>
      <c r="G258" s="48">
        <f>IF(OR(B258="",C258=""),"",IFERROR(IF(MAXIFS($C$4:C257,$B$4:B257,B258)=0,"",C258-MAXIFS($C$4:C257,$B$4:B257,B258)),""))</f>
        <v/>
      </c>
      <c r="H258" s="56">
        <f>IF(OR(G258="",G258=0,D258=""),"",D258/G258*100)</f>
        <v/>
      </c>
      <c r="I258" s="57">
        <f>IF(OR(G258="",G258=0,F258=""),"",F258/G258)</f>
        <v/>
      </c>
      <c r="J258" s="38" t="n"/>
      <c r="K258" s="38" t="n"/>
      <c r="L258" s="38" t="n"/>
    </row>
    <row r="259">
      <c r="A259" s="33" t="n"/>
      <c r="B259" s="32" t="n"/>
      <c r="C259" s="41" t="n"/>
      <c r="D259" s="58" t="n"/>
      <c r="E259" s="59" t="n"/>
      <c r="F259" s="55">
        <f>IF(OR(D259="",E259=""),"",D259*E259)</f>
        <v/>
      </c>
      <c r="G259" s="48">
        <f>IF(OR(B259="",C259=""),"",IFERROR(IF(MAXIFS($C$4:C258,$B$4:B258,B259)=0,"",C259-MAXIFS($C$4:C258,$B$4:B258,B259)),""))</f>
        <v/>
      </c>
      <c r="H259" s="56">
        <f>IF(OR(G259="",G259=0,D259=""),"",D259/G259*100)</f>
        <v/>
      </c>
      <c r="I259" s="57">
        <f>IF(OR(G259="",G259=0,F259=""),"",F259/G259)</f>
        <v/>
      </c>
      <c r="J259" s="40" t="n"/>
      <c r="K259" s="40" t="n"/>
      <c r="L259" s="40" t="n"/>
    </row>
    <row r="260">
      <c r="A260" s="35" t="n"/>
      <c r="B260" s="34" t="n"/>
      <c r="C260" s="39" t="n"/>
      <c r="D260" s="53" t="n"/>
      <c r="E260" s="54" t="n"/>
      <c r="F260" s="55">
        <f>IF(OR(D260="",E260=""),"",D260*E260)</f>
        <v/>
      </c>
      <c r="G260" s="48">
        <f>IF(OR(B260="",C260=""),"",IFERROR(IF(MAXIFS($C$4:C259,$B$4:B259,B260)=0,"",C260-MAXIFS($C$4:C259,$B$4:B259,B260)),""))</f>
        <v/>
      </c>
      <c r="H260" s="56">
        <f>IF(OR(G260="",G260=0,D260=""),"",D260/G260*100)</f>
        <v/>
      </c>
      <c r="I260" s="57">
        <f>IF(OR(G260="",G260=0,F260=""),"",F260/G260)</f>
        <v/>
      </c>
      <c r="J260" s="38" t="n"/>
      <c r="K260" s="38" t="n"/>
      <c r="L260" s="38" t="n"/>
    </row>
    <row r="261">
      <c r="A261" s="33" t="n"/>
      <c r="B261" s="32" t="n"/>
      <c r="C261" s="41" t="n"/>
      <c r="D261" s="58" t="n"/>
      <c r="E261" s="59" t="n"/>
      <c r="F261" s="55">
        <f>IF(OR(D261="",E261=""),"",D261*E261)</f>
        <v/>
      </c>
      <c r="G261" s="48">
        <f>IF(OR(B261="",C261=""),"",IFERROR(IF(MAXIFS($C$4:C260,$B$4:B260,B261)=0,"",C261-MAXIFS($C$4:C260,$B$4:B260,B261)),""))</f>
        <v/>
      </c>
      <c r="H261" s="56">
        <f>IF(OR(G261="",G261=0,D261=""),"",D261/G261*100)</f>
        <v/>
      </c>
      <c r="I261" s="57">
        <f>IF(OR(G261="",G261=0,F261=""),"",F261/G261)</f>
        <v/>
      </c>
      <c r="J261" s="40" t="n"/>
      <c r="K261" s="40" t="n"/>
      <c r="L261" s="40" t="n"/>
    </row>
    <row r="262">
      <c r="A262" s="35" t="n"/>
      <c r="B262" s="34" t="n"/>
      <c r="C262" s="39" t="n"/>
      <c r="D262" s="53" t="n"/>
      <c r="E262" s="54" t="n"/>
      <c r="F262" s="55">
        <f>IF(OR(D262="",E262=""),"",D262*E262)</f>
        <v/>
      </c>
      <c r="G262" s="48">
        <f>IF(OR(B262="",C262=""),"",IFERROR(IF(MAXIFS($C$4:C261,$B$4:B261,B262)=0,"",C262-MAXIFS($C$4:C261,$B$4:B261,B262)),""))</f>
        <v/>
      </c>
      <c r="H262" s="56">
        <f>IF(OR(G262="",G262=0,D262=""),"",D262/G262*100)</f>
        <v/>
      </c>
      <c r="I262" s="57">
        <f>IF(OR(G262="",G262=0,F262=""),"",F262/G262)</f>
        <v/>
      </c>
      <c r="J262" s="38" t="n"/>
      <c r="K262" s="38" t="n"/>
      <c r="L262" s="38" t="n"/>
    </row>
    <row r="263">
      <c r="A263" s="33" t="n"/>
      <c r="B263" s="32" t="n"/>
      <c r="C263" s="41" t="n"/>
      <c r="D263" s="58" t="n"/>
      <c r="E263" s="59" t="n"/>
      <c r="F263" s="55">
        <f>IF(OR(D263="",E263=""),"",D263*E263)</f>
        <v/>
      </c>
      <c r="G263" s="48">
        <f>IF(OR(B263="",C263=""),"",IFERROR(IF(MAXIFS($C$4:C262,$B$4:B262,B263)=0,"",C263-MAXIFS($C$4:C262,$B$4:B262,B263)),""))</f>
        <v/>
      </c>
      <c r="H263" s="56">
        <f>IF(OR(G263="",G263=0,D263=""),"",D263/G263*100)</f>
        <v/>
      </c>
      <c r="I263" s="57">
        <f>IF(OR(G263="",G263=0,F263=""),"",F263/G263)</f>
        <v/>
      </c>
      <c r="J263" s="40" t="n"/>
      <c r="K263" s="40" t="n"/>
      <c r="L263" s="40" t="n"/>
    </row>
    <row r="264">
      <c r="A264" s="35" t="n"/>
      <c r="B264" s="34" t="n"/>
      <c r="C264" s="39" t="n"/>
      <c r="D264" s="53" t="n"/>
      <c r="E264" s="54" t="n"/>
      <c r="F264" s="55">
        <f>IF(OR(D264="",E264=""),"",D264*E264)</f>
        <v/>
      </c>
      <c r="G264" s="48">
        <f>IF(OR(B264="",C264=""),"",IFERROR(IF(MAXIFS($C$4:C263,$B$4:B263,B264)=0,"",C264-MAXIFS($C$4:C263,$B$4:B263,B264)),""))</f>
        <v/>
      </c>
      <c r="H264" s="56">
        <f>IF(OR(G264="",G264=0,D264=""),"",D264/G264*100)</f>
        <v/>
      </c>
      <c r="I264" s="57">
        <f>IF(OR(G264="",G264=0,F264=""),"",F264/G264)</f>
        <v/>
      </c>
      <c r="J264" s="38" t="n"/>
      <c r="K264" s="38" t="n"/>
      <c r="L264" s="38" t="n"/>
    </row>
    <row r="265">
      <c r="A265" s="33" t="n"/>
      <c r="B265" s="32" t="n"/>
      <c r="C265" s="41" t="n"/>
      <c r="D265" s="58" t="n"/>
      <c r="E265" s="59" t="n"/>
      <c r="F265" s="55">
        <f>IF(OR(D265="",E265=""),"",D265*E265)</f>
        <v/>
      </c>
      <c r="G265" s="48">
        <f>IF(OR(B265="",C265=""),"",IFERROR(IF(MAXIFS($C$4:C264,$B$4:B264,B265)=0,"",C265-MAXIFS($C$4:C264,$B$4:B264,B265)),""))</f>
        <v/>
      </c>
      <c r="H265" s="56">
        <f>IF(OR(G265="",G265=0,D265=""),"",D265/G265*100)</f>
        <v/>
      </c>
      <c r="I265" s="57">
        <f>IF(OR(G265="",G265=0,F265=""),"",F265/G265)</f>
        <v/>
      </c>
      <c r="J265" s="40" t="n"/>
      <c r="K265" s="40" t="n"/>
      <c r="L265" s="40" t="n"/>
    </row>
    <row r="266">
      <c r="A266" s="35" t="n"/>
      <c r="B266" s="34" t="n"/>
      <c r="C266" s="39" t="n"/>
      <c r="D266" s="53" t="n"/>
      <c r="E266" s="54" t="n"/>
      <c r="F266" s="55">
        <f>IF(OR(D266="",E266=""),"",D266*E266)</f>
        <v/>
      </c>
      <c r="G266" s="48">
        <f>IF(OR(B266="",C266=""),"",IFERROR(IF(MAXIFS($C$4:C265,$B$4:B265,B266)=0,"",C266-MAXIFS($C$4:C265,$B$4:B265,B266)),""))</f>
        <v/>
      </c>
      <c r="H266" s="56">
        <f>IF(OR(G266="",G266=0,D266=""),"",D266/G266*100)</f>
        <v/>
      </c>
      <c r="I266" s="57">
        <f>IF(OR(G266="",G266=0,F266=""),"",F266/G266)</f>
        <v/>
      </c>
      <c r="J266" s="38" t="n"/>
      <c r="K266" s="38" t="n"/>
      <c r="L266" s="38" t="n"/>
    </row>
    <row r="267">
      <c r="A267" s="33" t="n"/>
      <c r="B267" s="32" t="n"/>
      <c r="C267" s="41" t="n"/>
      <c r="D267" s="58" t="n"/>
      <c r="E267" s="59" t="n"/>
      <c r="F267" s="55">
        <f>IF(OR(D267="",E267=""),"",D267*E267)</f>
        <v/>
      </c>
      <c r="G267" s="48">
        <f>IF(OR(B267="",C267=""),"",IFERROR(IF(MAXIFS($C$4:C266,$B$4:B266,B267)=0,"",C267-MAXIFS($C$4:C266,$B$4:B266,B267)),""))</f>
        <v/>
      </c>
      <c r="H267" s="56">
        <f>IF(OR(G267="",G267=0,D267=""),"",D267/G267*100)</f>
        <v/>
      </c>
      <c r="I267" s="57">
        <f>IF(OR(G267="",G267=0,F267=""),"",F267/G267)</f>
        <v/>
      </c>
      <c r="J267" s="40" t="n"/>
      <c r="K267" s="40" t="n"/>
      <c r="L267" s="40" t="n"/>
    </row>
    <row r="268">
      <c r="A268" s="35" t="n"/>
      <c r="B268" s="34" t="n"/>
      <c r="C268" s="39" t="n"/>
      <c r="D268" s="53" t="n"/>
      <c r="E268" s="54" t="n"/>
      <c r="F268" s="55">
        <f>IF(OR(D268="",E268=""),"",D268*E268)</f>
        <v/>
      </c>
      <c r="G268" s="48">
        <f>IF(OR(B268="",C268=""),"",IFERROR(IF(MAXIFS($C$4:C267,$B$4:B267,B268)=0,"",C268-MAXIFS($C$4:C267,$B$4:B267,B268)),""))</f>
        <v/>
      </c>
      <c r="H268" s="56">
        <f>IF(OR(G268="",G268=0,D268=""),"",D268/G268*100)</f>
        <v/>
      </c>
      <c r="I268" s="57">
        <f>IF(OR(G268="",G268=0,F268=""),"",F268/G268)</f>
        <v/>
      </c>
      <c r="J268" s="38" t="n"/>
      <c r="K268" s="38" t="n"/>
      <c r="L268" s="38" t="n"/>
    </row>
    <row r="269">
      <c r="A269" s="33" t="n"/>
      <c r="B269" s="32" t="n"/>
      <c r="C269" s="41" t="n"/>
      <c r="D269" s="58" t="n"/>
      <c r="E269" s="59" t="n"/>
      <c r="F269" s="55">
        <f>IF(OR(D269="",E269=""),"",D269*E269)</f>
        <v/>
      </c>
      <c r="G269" s="48">
        <f>IF(OR(B269="",C269=""),"",IFERROR(IF(MAXIFS($C$4:C268,$B$4:B268,B269)=0,"",C269-MAXIFS($C$4:C268,$B$4:B268,B269)),""))</f>
        <v/>
      </c>
      <c r="H269" s="56">
        <f>IF(OR(G269="",G269=0,D269=""),"",D269/G269*100)</f>
        <v/>
      </c>
      <c r="I269" s="57">
        <f>IF(OR(G269="",G269=0,F269=""),"",F269/G269)</f>
        <v/>
      </c>
      <c r="J269" s="40" t="n"/>
      <c r="K269" s="40" t="n"/>
      <c r="L269" s="40" t="n"/>
    </row>
    <row r="270">
      <c r="A270" s="35" t="n"/>
      <c r="B270" s="34" t="n"/>
      <c r="C270" s="39" t="n"/>
      <c r="D270" s="53" t="n"/>
      <c r="E270" s="54" t="n"/>
      <c r="F270" s="55">
        <f>IF(OR(D270="",E270=""),"",D270*E270)</f>
        <v/>
      </c>
      <c r="G270" s="48">
        <f>IF(OR(B270="",C270=""),"",IFERROR(IF(MAXIFS($C$4:C269,$B$4:B269,B270)=0,"",C270-MAXIFS($C$4:C269,$B$4:B269,B270)),""))</f>
        <v/>
      </c>
      <c r="H270" s="56">
        <f>IF(OR(G270="",G270=0,D270=""),"",D270/G270*100)</f>
        <v/>
      </c>
      <c r="I270" s="57">
        <f>IF(OR(G270="",G270=0,F270=""),"",F270/G270)</f>
        <v/>
      </c>
      <c r="J270" s="38" t="n"/>
      <c r="K270" s="38" t="n"/>
      <c r="L270" s="38" t="n"/>
    </row>
    <row r="271">
      <c r="A271" s="33" t="n"/>
      <c r="B271" s="32" t="n"/>
      <c r="C271" s="41" t="n"/>
      <c r="D271" s="58" t="n"/>
      <c r="E271" s="59" t="n"/>
      <c r="F271" s="55">
        <f>IF(OR(D271="",E271=""),"",D271*E271)</f>
        <v/>
      </c>
      <c r="G271" s="48">
        <f>IF(OR(B271="",C271=""),"",IFERROR(IF(MAXIFS($C$4:C270,$B$4:B270,B271)=0,"",C271-MAXIFS($C$4:C270,$B$4:B270,B271)),""))</f>
        <v/>
      </c>
      <c r="H271" s="56">
        <f>IF(OR(G271="",G271=0,D271=""),"",D271/G271*100)</f>
        <v/>
      </c>
      <c r="I271" s="57">
        <f>IF(OR(G271="",G271=0,F271=""),"",F271/G271)</f>
        <v/>
      </c>
      <c r="J271" s="40" t="n"/>
      <c r="K271" s="40" t="n"/>
      <c r="L271" s="40" t="n"/>
    </row>
    <row r="272">
      <c r="A272" s="35" t="n"/>
      <c r="B272" s="34" t="n"/>
      <c r="C272" s="39" t="n"/>
      <c r="D272" s="53" t="n"/>
      <c r="E272" s="54" t="n"/>
      <c r="F272" s="55">
        <f>IF(OR(D272="",E272=""),"",D272*E272)</f>
        <v/>
      </c>
      <c r="G272" s="48">
        <f>IF(OR(B272="",C272=""),"",IFERROR(IF(MAXIFS($C$4:C271,$B$4:B271,B272)=0,"",C272-MAXIFS($C$4:C271,$B$4:B271,B272)),""))</f>
        <v/>
      </c>
      <c r="H272" s="56">
        <f>IF(OR(G272="",G272=0,D272=""),"",D272/G272*100)</f>
        <v/>
      </c>
      <c r="I272" s="57">
        <f>IF(OR(G272="",G272=0,F272=""),"",F272/G272)</f>
        <v/>
      </c>
      <c r="J272" s="38" t="n"/>
      <c r="K272" s="38" t="n"/>
      <c r="L272" s="38" t="n"/>
    </row>
    <row r="273">
      <c r="A273" s="33" t="n"/>
      <c r="B273" s="32" t="n"/>
      <c r="C273" s="41" t="n"/>
      <c r="D273" s="58" t="n"/>
      <c r="E273" s="59" t="n"/>
      <c r="F273" s="55">
        <f>IF(OR(D273="",E273=""),"",D273*E273)</f>
        <v/>
      </c>
      <c r="G273" s="48">
        <f>IF(OR(B273="",C273=""),"",IFERROR(IF(MAXIFS($C$4:C272,$B$4:B272,B273)=0,"",C273-MAXIFS($C$4:C272,$B$4:B272,B273)),""))</f>
        <v/>
      </c>
      <c r="H273" s="56">
        <f>IF(OR(G273="",G273=0,D273=""),"",D273/G273*100)</f>
        <v/>
      </c>
      <c r="I273" s="57">
        <f>IF(OR(G273="",G273=0,F273=""),"",F273/G273)</f>
        <v/>
      </c>
      <c r="J273" s="40" t="n"/>
      <c r="K273" s="40" t="n"/>
      <c r="L273" s="40" t="n"/>
    </row>
    <row r="274">
      <c r="A274" s="35" t="n"/>
      <c r="B274" s="34" t="n"/>
      <c r="C274" s="39" t="n"/>
      <c r="D274" s="53" t="n"/>
      <c r="E274" s="54" t="n"/>
      <c r="F274" s="55">
        <f>IF(OR(D274="",E274=""),"",D274*E274)</f>
        <v/>
      </c>
      <c r="G274" s="48">
        <f>IF(OR(B274="",C274=""),"",IFERROR(IF(MAXIFS($C$4:C273,$B$4:B273,B274)=0,"",C274-MAXIFS($C$4:C273,$B$4:B273,B274)),""))</f>
        <v/>
      </c>
      <c r="H274" s="56">
        <f>IF(OR(G274="",G274=0,D274=""),"",D274/G274*100)</f>
        <v/>
      </c>
      <c r="I274" s="57">
        <f>IF(OR(G274="",G274=0,F274=""),"",F274/G274)</f>
        <v/>
      </c>
      <c r="J274" s="38" t="n"/>
      <c r="K274" s="38" t="n"/>
      <c r="L274" s="38" t="n"/>
    </row>
    <row r="275">
      <c r="A275" s="33" t="n"/>
      <c r="B275" s="32" t="n"/>
      <c r="C275" s="41" t="n"/>
      <c r="D275" s="58" t="n"/>
      <c r="E275" s="59" t="n"/>
      <c r="F275" s="55">
        <f>IF(OR(D275="",E275=""),"",D275*E275)</f>
        <v/>
      </c>
      <c r="G275" s="48">
        <f>IF(OR(B275="",C275=""),"",IFERROR(IF(MAXIFS($C$4:C274,$B$4:B274,B275)=0,"",C275-MAXIFS($C$4:C274,$B$4:B274,B275)),""))</f>
        <v/>
      </c>
      <c r="H275" s="56">
        <f>IF(OR(G275="",G275=0,D275=""),"",D275/G275*100)</f>
        <v/>
      </c>
      <c r="I275" s="57">
        <f>IF(OR(G275="",G275=0,F275=""),"",F275/G275)</f>
        <v/>
      </c>
      <c r="J275" s="40" t="n"/>
      <c r="K275" s="40" t="n"/>
      <c r="L275" s="40" t="n"/>
    </row>
    <row r="276">
      <c r="A276" s="35" t="n"/>
      <c r="B276" s="34" t="n"/>
      <c r="C276" s="39" t="n"/>
      <c r="D276" s="53" t="n"/>
      <c r="E276" s="54" t="n"/>
      <c r="F276" s="55">
        <f>IF(OR(D276="",E276=""),"",D276*E276)</f>
        <v/>
      </c>
      <c r="G276" s="48">
        <f>IF(OR(B276="",C276=""),"",IFERROR(IF(MAXIFS($C$4:C275,$B$4:B275,B276)=0,"",C276-MAXIFS($C$4:C275,$B$4:B275,B276)),""))</f>
        <v/>
      </c>
      <c r="H276" s="56">
        <f>IF(OR(G276="",G276=0,D276=""),"",D276/G276*100)</f>
        <v/>
      </c>
      <c r="I276" s="57">
        <f>IF(OR(G276="",G276=0,F276=""),"",F276/G276)</f>
        <v/>
      </c>
      <c r="J276" s="38" t="n"/>
      <c r="K276" s="38" t="n"/>
      <c r="L276" s="38" t="n"/>
    </row>
    <row r="277">
      <c r="A277" s="33" t="n"/>
      <c r="B277" s="32" t="n"/>
      <c r="C277" s="41" t="n"/>
      <c r="D277" s="58" t="n"/>
      <c r="E277" s="59" t="n"/>
      <c r="F277" s="55">
        <f>IF(OR(D277="",E277=""),"",D277*E277)</f>
        <v/>
      </c>
      <c r="G277" s="48">
        <f>IF(OR(B277="",C277=""),"",IFERROR(IF(MAXIFS($C$4:C276,$B$4:B276,B277)=0,"",C277-MAXIFS($C$4:C276,$B$4:B276,B277)),""))</f>
        <v/>
      </c>
      <c r="H277" s="56">
        <f>IF(OR(G277="",G277=0,D277=""),"",D277/G277*100)</f>
        <v/>
      </c>
      <c r="I277" s="57">
        <f>IF(OR(G277="",G277=0,F277=""),"",F277/G277)</f>
        <v/>
      </c>
      <c r="J277" s="40" t="n"/>
      <c r="K277" s="40" t="n"/>
      <c r="L277" s="40" t="n"/>
    </row>
    <row r="278">
      <c r="A278" s="35" t="n"/>
      <c r="B278" s="34" t="n"/>
      <c r="C278" s="39" t="n"/>
      <c r="D278" s="53" t="n"/>
      <c r="E278" s="54" t="n"/>
      <c r="F278" s="55">
        <f>IF(OR(D278="",E278=""),"",D278*E278)</f>
        <v/>
      </c>
      <c r="G278" s="48">
        <f>IF(OR(B278="",C278=""),"",IFERROR(IF(MAXIFS($C$4:C277,$B$4:B277,B278)=0,"",C278-MAXIFS($C$4:C277,$B$4:B277,B278)),""))</f>
        <v/>
      </c>
      <c r="H278" s="56">
        <f>IF(OR(G278="",G278=0,D278=""),"",D278/G278*100)</f>
        <v/>
      </c>
      <c r="I278" s="57">
        <f>IF(OR(G278="",G278=0,F278=""),"",F278/G278)</f>
        <v/>
      </c>
      <c r="J278" s="38" t="n"/>
      <c r="K278" s="38" t="n"/>
      <c r="L278" s="38" t="n"/>
    </row>
    <row r="279">
      <c r="A279" s="33" t="n"/>
      <c r="B279" s="32" t="n"/>
      <c r="C279" s="41" t="n"/>
      <c r="D279" s="58" t="n"/>
      <c r="E279" s="59" t="n"/>
      <c r="F279" s="55">
        <f>IF(OR(D279="",E279=""),"",D279*E279)</f>
        <v/>
      </c>
      <c r="G279" s="48">
        <f>IF(OR(B279="",C279=""),"",IFERROR(IF(MAXIFS($C$4:C278,$B$4:B278,B279)=0,"",C279-MAXIFS($C$4:C278,$B$4:B278,B279)),""))</f>
        <v/>
      </c>
      <c r="H279" s="56">
        <f>IF(OR(G279="",G279=0,D279=""),"",D279/G279*100)</f>
        <v/>
      </c>
      <c r="I279" s="57">
        <f>IF(OR(G279="",G279=0,F279=""),"",F279/G279)</f>
        <v/>
      </c>
      <c r="J279" s="40" t="n"/>
      <c r="K279" s="40" t="n"/>
      <c r="L279" s="40" t="n"/>
    </row>
    <row r="280">
      <c r="A280" s="35" t="n"/>
      <c r="B280" s="34" t="n"/>
      <c r="C280" s="39" t="n"/>
      <c r="D280" s="53" t="n"/>
      <c r="E280" s="54" t="n"/>
      <c r="F280" s="55">
        <f>IF(OR(D280="",E280=""),"",D280*E280)</f>
        <v/>
      </c>
      <c r="G280" s="48">
        <f>IF(OR(B280="",C280=""),"",IFERROR(IF(MAXIFS($C$4:C279,$B$4:B279,B280)=0,"",C280-MAXIFS($C$4:C279,$B$4:B279,B280)),""))</f>
        <v/>
      </c>
      <c r="H280" s="56">
        <f>IF(OR(G280="",G280=0,D280=""),"",D280/G280*100)</f>
        <v/>
      </c>
      <c r="I280" s="57">
        <f>IF(OR(G280="",G280=0,F280=""),"",F280/G280)</f>
        <v/>
      </c>
      <c r="J280" s="38" t="n"/>
      <c r="K280" s="38" t="n"/>
      <c r="L280" s="38" t="n"/>
    </row>
    <row r="281">
      <c r="A281" s="33" t="n"/>
      <c r="B281" s="32" t="n"/>
      <c r="C281" s="41" t="n"/>
      <c r="D281" s="58" t="n"/>
      <c r="E281" s="59" t="n"/>
      <c r="F281" s="55">
        <f>IF(OR(D281="",E281=""),"",D281*E281)</f>
        <v/>
      </c>
      <c r="G281" s="48">
        <f>IF(OR(B281="",C281=""),"",IFERROR(IF(MAXIFS($C$4:C280,$B$4:B280,B281)=0,"",C281-MAXIFS($C$4:C280,$B$4:B280,B281)),""))</f>
        <v/>
      </c>
      <c r="H281" s="56">
        <f>IF(OR(G281="",G281=0,D281=""),"",D281/G281*100)</f>
        <v/>
      </c>
      <c r="I281" s="57">
        <f>IF(OR(G281="",G281=0,F281=""),"",F281/G281)</f>
        <v/>
      </c>
      <c r="J281" s="40" t="n"/>
      <c r="K281" s="40" t="n"/>
      <c r="L281" s="40" t="n"/>
    </row>
    <row r="282">
      <c r="A282" s="35" t="n"/>
      <c r="B282" s="34" t="n"/>
      <c r="C282" s="39" t="n"/>
      <c r="D282" s="53" t="n"/>
      <c r="E282" s="54" t="n"/>
      <c r="F282" s="55">
        <f>IF(OR(D282="",E282=""),"",D282*E282)</f>
        <v/>
      </c>
      <c r="G282" s="48">
        <f>IF(OR(B282="",C282=""),"",IFERROR(IF(MAXIFS($C$4:C281,$B$4:B281,B282)=0,"",C282-MAXIFS($C$4:C281,$B$4:B281,B282)),""))</f>
        <v/>
      </c>
      <c r="H282" s="56">
        <f>IF(OR(G282="",G282=0,D282=""),"",D282/G282*100)</f>
        <v/>
      </c>
      <c r="I282" s="57">
        <f>IF(OR(G282="",G282=0,F282=""),"",F282/G282)</f>
        <v/>
      </c>
      <c r="J282" s="38" t="n"/>
      <c r="K282" s="38" t="n"/>
      <c r="L282" s="38" t="n"/>
    </row>
    <row r="283">
      <c r="A283" s="33" t="n"/>
      <c r="B283" s="32" t="n"/>
      <c r="C283" s="41" t="n"/>
      <c r="D283" s="58" t="n"/>
      <c r="E283" s="59" t="n"/>
      <c r="F283" s="55">
        <f>IF(OR(D283="",E283=""),"",D283*E283)</f>
        <v/>
      </c>
      <c r="G283" s="48">
        <f>IF(OR(B283="",C283=""),"",IFERROR(IF(MAXIFS($C$4:C282,$B$4:B282,B283)=0,"",C283-MAXIFS($C$4:C282,$B$4:B282,B283)),""))</f>
        <v/>
      </c>
      <c r="H283" s="56">
        <f>IF(OR(G283="",G283=0,D283=""),"",D283/G283*100)</f>
        <v/>
      </c>
      <c r="I283" s="57">
        <f>IF(OR(G283="",G283=0,F283=""),"",F283/G283)</f>
        <v/>
      </c>
      <c r="J283" s="40" t="n"/>
      <c r="K283" s="40" t="n"/>
      <c r="L283" s="40" t="n"/>
    </row>
    <row r="284">
      <c r="A284" s="35" t="n"/>
      <c r="B284" s="34" t="n"/>
      <c r="C284" s="39" t="n"/>
      <c r="D284" s="53" t="n"/>
      <c r="E284" s="54" t="n"/>
      <c r="F284" s="55">
        <f>IF(OR(D284="",E284=""),"",D284*E284)</f>
        <v/>
      </c>
      <c r="G284" s="48">
        <f>IF(OR(B284="",C284=""),"",IFERROR(IF(MAXIFS($C$4:C283,$B$4:B283,B284)=0,"",C284-MAXIFS($C$4:C283,$B$4:B283,B284)),""))</f>
        <v/>
      </c>
      <c r="H284" s="56">
        <f>IF(OR(G284="",G284=0,D284=""),"",D284/G284*100)</f>
        <v/>
      </c>
      <c r="I284" s="57">
        <f>IF(OR(G284="",G284=0,F284=""),"",F284/G284)</f>
        <v/>
      </c>
      <c r="J284" s="38" t="n"/>
      <c r="K284" s="38" t="n"/>
      <c r="L284" s="38" t="n"/>
    </row>
    <row r="285">
      <c r="A285" s="33" t="n"/>
      <c r="B285" s="32" t="n"/>
      <c r="C285" s="41" t="n"/>
      <c r="D285" s="58" t="n"/>
      <c r="E285" s="59" t="n"/>
      <c r="F285" s="55">
        <f>IF(OR(D285="",E285=""),"",D285*E285)</f>
        <v/>
      </c>
      <c r="G285" s="48">
        <f>IF(OR(B285="",C285=""),"",IFERROR(IF(MAXIFS($C$4:C284,$B$4:B284,B285)=0,"",C285-MAXIFS($C$4:C284,$B$4:B284,B285)),""))</f>
        <v/>
      </c>
      <c r="H285" s="56">
        <f>IF(OR(G285="",G285=0,D285=""),"",D285/G285*100)</f>
        <v/>
      </c>
      <c r="I285" s="57">
        <f>IF(OR(G285="",G285=0,F285=""),"",F285/G285)</f>
        <v/>
      </c>
      <c r="J285" s="40" t="n"/>
      <c r="K285" s="40" t="n"/>
      <c r="L285" s="40" t="n"/>
    </row>
    <row r="286">
      <c r="A286" s="35" t="n"/>
      <c r="B286" s="34" t="n"/>
      <c r="C286" s="39" t="n"/>
      <c r="D286" s="53" t="n"/>
      <c r="E286" s="54" t="n"/>
      <c r="F286" s="55">
        <f>IF(OR(D286="",E286=""),"",D286*E286)</f>
        <v/>
      </c>
      <c r="G286" s="48">
        <f>IF(OR(B286="",C286=""),"",IFERROR(IF(MAXIFS($C$4:C285,$B$4:B285,B286)=0,"",C286-MAXIFS($C$4:C285,$B$4:B285,B286)),""))</f>
        <v/>
      </c>
      <c r="H286" s="56">
        <f>IF(OR(G286="",G286=0,D286=""),"",D286/G286*100)</f>
        <v/>
      </c>
      <c r="I286" s="57">
        <f>IF(OR(G286="",G286=0,F286=""),"",F286/G286)</f>
        <v/>
      </c>
      <c r="J286" s="38" t="n"/>
      <c r="K286" s="38" t="n"/>
      <c r="L286" s="38" t="n"/>
    </row>
    <row r="287">
      <c r="A287" s="33" t="n"/>
      <c r="B287" s="32" t="n"/>
      <c r="C287" s="41" t="n"/>
      <c r="D287" s="58" t="n"/>
      <c r="E287" s="59" t="n"/>
      <c r="F287" s="55">
        <f>IF(OR(D287="",E287=""),"",D287*E287)</f>
        <v/>
      </c>
      <c r="G287" s="48">
        <f>IF(OR(B287="",C287=""),"",IFERROR(IF(MAXIFS($C$4:C286,$B$4:B286,B287)=0,"",C287-MAXIFS($C$4:C286,$B$4:B286,B287)),""))</f>
        <v/>
      </c>
      <c r="H287" s="56">
        <f>IF(OR(G287="",G287=0,D287=""),"",D287/G287*100)</f>
        <v/>
      </c>
      <c r="I287" s="57">
        <f>IF(OR(G287="",G287=0,F287=""),"",F287/G287)</f>
        <v/>
      </c>
      <c r="J287" s="40" t="n"/>
      <c r="K287" s="40" t="n"/>
      <c r="L287" s="40" t="n"/>
    </row>
    <row r="288">
      <c r="A288" s="35" t="n"/>
      <c r="B288" s="34" t="n"/>
      <c r="C288" s="39" t="n"/>
      <c r="D288" s="53" t="n"/>
      <c r="E288" s="54" t="n"/>
      <c r="F288" s="55">
        <f>IF(OR(D288="",E288=""),"",D288*E288)</f>
        <v/>
      </c>
      <c r="G288" s="48">
        <f>IF(OR(B288="",C288=""),"",IFERROR(IF(MAXIFS($C$4:C287,$B$4:B287,B288)=0,"",C288-MAXIFS($C$4:C287,$B$4:B287,B288)),""))</f>
        <v/>
      </c>
      <c r="H288" s="56">
        <f>IF(OR(G288="",G288=0,D288=""),"",D288/G288*100)</f>
        <v/>
      </c>
      <c r="I288" s="57">
        <f>IF(OR(G288="",G288=0,F288=""),"",F288/G288)</f>
        <v/>
      </c>
      <c r="J288" s="38" t="n"/>
      <c r="K288" s="38" t="n"/>
      <c r="L288" s="38" t="n"/>
    </row>
    <row r="289">
      <c r="A289" s="33" t="n"/>
      <c r="B289" s="32" t="n"/>
      <c r="C289" s="41" t="n"/>
      <c r="D289" s="58" t="n"/>
      <c r="E289" s="59" t="n"/>
      <c r="F289" s="55">
        <f>IF(OR(D289="",E289=""),"",D289*E289)</f>
        <v/>
      </c>
      <c r="G289" s="48">
        <f>IF(OR(B289="",C289=""),"",IFERROR(IF(MAXIFS($C$4:C288,$B$4:B288,B289)=0,"",C289-MAXIFS($C$4:C288,$B$4:B288,B289)),""))</f>
        <v/>
      </c>
      <c r="H289" s="56">
        <f>IF(OR(G289="",G289=0,D289=""),"",D289/G289*100)</f>
        <v/>
      </c>
      <c r="I289" s="57">
        <f>IF(OR(G289="",G289=0,F289=""),"",F289/G289)</f>
        <v/>
      </c>
      <c r="J289" s="40" t="n"/>
      <c r="K289" s="40" t="n"/>
      <c r="L289" s="40" t="n"/>
    </row>
    <row r="290">
      <c r="A290" s="35" t="n"/>
      <c r="B290" s="34" t="n"/>
      <c r="C290" s="39" t="n"/>
      <c r="D290" s="53" t="n"/>
      <c r="E290" s="54" t="n"/>
      <c r="F290" s="55">
        <f>IF(OR(D290="",E290=""),"",D290*E290)</f>
        <v/>
      </c>
      <c r="G290" s="48">
        <f>IF(OR(B290="",C290=""),"",IFERROR(IF(MAXIFS($C$4:C289,$B$4:B289,B290)=0,"",C290-MAXIFS($C$4:C289,$B$4:B289,B290)),""))</f>
        <v/>
      </c>
      <c r="H290" s="56">
        <f>IF(OR(G290="",G290=0,D290=""),"",D290/G290*100)</f>
        <v/>
      </c>
      <c r="I290" s="57">
        <f>IF(OR(G290="",G290=0,F290=""),"",F290/G290)</f>
        <v/>
      </c>
      <c r="J290" s="38" t="n"/>
      <c r="K290" s="38" t="n"/>
      <c r="L290" s="38" t="n"/>
    </row>
    <row r="291">
      <c r="A291" s="33" t="n"/>
      <c r="B291" s="32" t="n"/>
      <c r="C291" s="41" t="n"/>
      <c r="D291" s="58" t="n"/>
      <c r="E291" s="59" t="n"/>
      <c r="F291" s="55">
        <f>IF(OR(D291="",E291=""),"",D291*E291)</f>
        <v/>
      </c>
      <c r="G291" s="48">
        <f>IF(OR(B291="",C291=""),"",IFERROR(IF(MAXIFS($C$4:C290,$B$4:B290,B291)=0,"",C291-MAXIFS($C$4:C290,$B$4:B290,B291)),""))</f>
        <v/>
      </c>
      <c r="H291" s="56">
        <f>IF(OR(G291="",G291=0,D291=""),"",D291/G291*100)</f>
        <v/>
      </c>
      <c r="I291" s="57">
        <f>IF(OR(G291="",G291=0,F291=""),"",F291/G291)</f>
        <v/>
      </c>
      <c r="J291" s="40" t="n"/>
      <c r="K291" s="40" t="n"/>
      <c r="L291" s="40" t="n"/>
    </row>
    <row r="292">
      <c r="A292" s="35" t="n"/>
      <c r="B292" s="34" t="n"/>
      <c r="C292" s="39" t="n"/>
      <c r="D292" s="53" t="n"/>
      <c r="E292" s="54" t="n"/>
      <c r="F292" s="55">
        <f>IF(OR(D292="",E292=""),"",D292*E292)</f>
        <v/>
      </c>
      <c r="G292" s="48">
        <f>IF(OR(B292="",C292=""),"",IFERROR(IF(MAXIFS($C$4:C291,$B$4:B291,B292)=0,"",C292-MAXIFS($C$4:C291,$B$4:B291,B292)),""))</f>
        <v/>
      </c>
      <c r="H292" s="56">
        <f>IF(OR(G292="",G292=0,D292=""),"",D292/G292*100)</f>
        <v/>
      </c>
      <c r="I292" s="57">
        <f>IF(OR(G292="",G292=0,F292=""),"",F292/G292)</f>
        <v/>
      </c>
      <c r="J292" s="38" t="n"/>
      <c r="K292" s="38" t="n"/>
      <c r="L292" s="38" t="n"/>
    </row>
    <row r="293">
      <c r="A293" s="33" t="n"/>
      <c r="B293" s="32" t="n"/>
      <c r="C293" s="41" t="n"/>
      <c r="D293" s="58" t="n"/>
      <c r="E293" s="59" t="n"/>
      <c r="F293" s="55">
        <f>IF(OR(D293="",E293=""),"",D293*E293)</f>
        <v/>
      </c>
      <c r="G293" s="48">
        <f>IF(OR(B293="",C293=""),"",IFERROR(IF(MAXIFS($C$4:C292,$B$4:B292,B293)=0,"",C293-MAXIFS($C$4:C292,$B$4:B292,B293)),""))</f>
        <v/>
      </c>
      <c r="H293" s="56">
        <f>IF(OR(G293="",G293=0,D293=""),"",D293/G293*100)</f>
        <v/>
      </c>
      <c r="I293" s="57">
        <f>IF(OR(G293="",G293=0,F293=""),"",F293/G293)</f>
        <v/>
      </c>
      <c r="J293" s="40" t="n"/>
      <c r="K293" s="40" t="n"/>
      <c r="L293" s="40" t="n"/>
    </row>
    <row r="294">
      <c r="A294" s="35" t="n"/>
      <c r="B294" s="34" t="n"/>
      <c r="C294" s="39" t="n"/>
      <c r="D294" s="53" t="n"/>
      <c r="E294" s="54" t="n"/>
      <c r="F294" s="55">
        <f>IF(OR(D294="",E294=""),"",D294*E294)</f>
        <v/>
      </c>
      <c r="G294" s="48">
        <f>IF(OR(B294="",C294=""),"",IFERROR(IF(MAXIFS($C$4:C293,$B$4:B293,B294)=0,"",C294-MAXIFS($C$4:C293,$B$4:B293,B294)),""))</f>
        <v/>
      </c>
      <c r="H294" s="56">
        <f>IF(OR(G294="",G294=0,D294=""),"",D294/G294*100)</f>
        <v/>
      </c>
      <c r="I294" s="57">
        <f>IF(OR(G294="",G294=0,F294=""),"",F294/G294)</f>
        <v/>
      </c>
      <c r="J294" s="38" t="n"/>
      <c r="K294" s="38" t="n"/>
      <c r="L294" s="38" t="n"/>
    </row>
    <row r="295">
      <c r="A295" s="33" t="n"/>
      <c r="B295" s="32" t="n"/>
      <c r="C295" s="41" t="n"/>
      <c r="D295" s="58" t="n"/>
      <c r="E295" s="59" t="n"/>
      <c r="F295" s="55">
        <f>IF(OR(D295="",E295=""),"",D295*E295)</f>
        <v/>
      </c>
      <c r="G295" s="48">
        <f>IF(OR(B295="",C295=""),"",IFERROR(IF(MAXIFS($C$4:C294,$B$4:B294,B295)=0,"",C295-MAXIFS($C$4:C294,$B$4:B294,B295)),""))</f>
        <v/>
      </c>
      <c r="H295" s="56">
        <f>IF(OR(G295="",G295=0,D295=""),"",D295/G295*100)</f>
        <v/>
      </c>
      <c r="I295" s="57">
        <f>IF(OR(G295="",G295=0,F295=""),"",F295/G295)</f>
        <v/>
      </c>
      <c r="J295" s="40" t="n"/>
      <c r="K295" s="40" t="n"/>
      <c r="L295" s="40" t="n"/>
    </row>
    <row r="296">
      <c r="A296" s="35" t="n"/>
      <c r="B296" s="34" t="n"/>
      <c r="C296" s="39" t="n"/>
      <c r="D296" s="53" t="n"/>
      <c r="E296" s="54" t="n"/>
      <c r="F296" s="55">
        <f>IF(OR(D296="",E296=""),"",D296*E296)</f>
        <v/>
      </c>
      <c r="G296" s="48">
        <f>IF(OR(B296="",C296=""),"",IFERROR(IF(MAXIFS($C$4:C295,$B$4:B295,B296)=0,"",C296-MAXIFS($C$4:C295,$B$4:B295,B296)),""))</f>
        <v/>
      </c>
      <c r="H296" s="56">
        <f>IF(OR(G296="",G296=0,D296=""),"",D296/G296*100)</f>
        <v/>
      </c>
      <c r="I296" s="57">
        <f>IF(OR(G296="",G296=0,F296=""),"",F296/G296)</f>
        <v/>
      </c>
      <c r="J296" s="38" t="n"/>
      <c r="K296" s="38" t="n"/>
      <c r="L296" s="38" t="n"/>
    </row>
    <row r="297">
      <c r="A297" s="33" t="n"/>
      <c r="B297" s="32" t="n"/>
      <c r="C297" s="41" t="n"/>
      <c r="D297" s="58" t="n"/>
      <c r="E297" s="59" t="n"/>
      <c r="F297" s="55">
        <f>IF(OR(D297="",E297=""),"",D297*E297)</f>
        <v/>
      </c>
      <c r="G297" s="48">
        <f>IF(OR(B297="",C297=""),"",IFERROR(IF(MAXIFS($C$4:C296,$B$4:B296,B297)=0,"",C297-MAXIFS($C$4:C296,$B$4:B296,B297)),""))</f>
        <v/>
      </c>
      <c r="H297" s="56">
        <f>IF(OR(G297="",G297=0,D297=""),"",D297/G297*100)</f>
        <v/>
      </c>
      <c r="I297" s="57">
        <f>IF(OR(G297="",G297=0,F297=""),"",F297/G297)</f>
        <v/>
      </c>
      <c r="J297" s="40" t="n"/>
      <c r="K297" s="40" t="n"/>
      <c r="L297" s="40" t="n"/>
    </row>
    <row r="298">
      <c r="A298" s="35" t="n"/>
      <c r="B298" s="34" t="n"/>
      <c r="C298" s="39" t="n"/>
      <c r="D298" s="53" t="n"/>
      <c r="E298" s="54" t="n"/>
      <c r="F298" s="55">
        <f>IF(OR(D298="",E298=""),"",D298*E298)</f>
        <v/>
      </c>
      <c r="G298" s="48">
        <f>IF(OR(B298="",C298=""),"",IFERROR(IF(MAXIFS($C$4:C297,$B$4:B297,B298)=0,"",C298-MAXIFS($C$4:C297,$B$4:B297,B298)),""))</f>
        <v/>
      </c>
      <c r="H298" s="56">
        <f>IF(OR(G298="",G298=0,D298=""),"",D298/G298*100)</f>
        <v/>
      </c>
      <c r="I298" s="57">
        <f>IF(OR(G298="",G298=0,F298=""),"",F298/G298)</f>
        <v/>
      </c>
      <c r="J298" s="38" t="n"/>
      <c r="K298" s="38" t="n"/>
      <c r="L298" s="38" t="n"/>
    </row>
    <row r="299">
      <c r="A299" s="33" t="n"/>
      <c r="B299" s="32" t="n"/>
      <c r="C299" s="41" t="n"/>
      <c r="D299" s="58" t="n"/>
      <c r="E299" s="59" t="n"/>
      <c r="F299" s="55">
        <f>IF(OR(D299="",E299=""),"",D299*E299)</f>
        <v/>
      </c>
      <c r="G299" s="48">
        <f>IF(OR(B299="",C299=""),"",IFERROR(IF(MAXIFS($C$4:C298,$B$4:B298,B299)=0,"",C299-MAXIFS($C$4:C298,$B$4:B298,B299)),""))</f>
        <v/>
      </c>
      <c r="H299" s="56">
        <f>IF(OR(G299="",G299=0,D299=""),"",D299/G299*100)</f>
        <v/>
      </c>
      <c r="I299" s="57">
        <f>IF(OR(G299="",G299=0,F299=""),"",F299/G299)</f>
        <v/>
      </c>
      <c r="J299" s="40" t="n"/>
      <c r="K299" s="40" t="n"/>
      <c r="L299" s="40" t="n"/>
    </row>
    <row r="300">
      <c r="A300" s="35" t="n"/>
      <c r="B300" s="34" t="n"/>
      <c r="C300" s="39" t="n"/>
      <c r="D300" s="53" t="n"/>
      <c r="E300" s="54" t="n"/>
      <c r="F300" s="55">
        <f>IF(OR(D300="",E300=""),"",D300*E300)</f>
        <v/>
      </c>
      <c r="G300" s="48">
        <f>IF(OR(B300="",C300=""),"",IFERROR(IF(MAXIFS($C$4:C299,$B$4:B299,B300)=0,"",C300-MAXIFS($C$4:C299,$B$4:B299,B300)),""))</f>
        <v/>
      </c>
      <c r="H300" s="56">
        <f>IF(OR(G300="",G300=0,D300=""),"",D300/G300*100)</f>
        <v/>
      </c>
      <c r="I300" s="57">
        <f>IF(OR(G300="",G300=0,F300=""),"",F300/G300)</f>
        <v/>
      </c>
      <c r="J300" s="38" t="n"/>
      <c r="K300" s="38" t="n"/>
      <c r="L300" s="38" t="n"/>
    </row>
    <row r="301">
      <c r="A301" s="33" t="n"/>
      <c r="B301" s="32" t="n"/>
      <c r="C301" s="41" t="n"/>
      <c r="D301" s="58" t="n"/>
      <c r="E301" s="59" t="n"/>
      <c r="F301" s="55">
        <f>IF(OR(D301="",E301=""),"",D301*E301)</f>
        <v/>
      </c>
      <c r="G301" s="48">
        <f>IF(OR(B301="",C301=""),"",IFERROR(IF(MAXIFS($C$4:C300,$B$4:B300,B301)=0,"",C301-MAXIFS($C$4:C300,$B$4:B300,B301)),""))</f>
        <v/>
      </c>
      <c r="H301" s="56">
        <f>IF(OR(G301="",G301=0,D301=""),"",D301/G301*100)</f>
        <v/>
      </c>
      <c r="I301" s="57">
        <f>IF(OR(G301="",G301=0,F301=""),"",F301/G301)</f>
        <v/>
      </c>
      <c r="J301" s="40" t="n"/>
      <c r="K301" s="40" t="n"/>
      <c r="L301" s="40" t="n"/>
    </row>
    <row r="302">
      <c r="A302" s="35" t="n"/>
      <c r="B302" s="34" t="n"/>
      <c r="C302" s="39" t="n"/>
      <c r="D302" s="53" t="n"/>
      <c r="E302" s="54" t="n"/>
      <c r="F302" s="55">
        <f>IF(OR(D302="",E302=""),"",D302*E302)</f>
        <v/>
      </c>
      <c r="G302" s="48">
        <f>IF(OR(B302="",C302=""),"",IFERROR(IF(MAXIFS($C$4:C301,$B$4:B301,B302)=0,"",C302-MAXIFS($C$4:C301,$B$4:B301,B302)),""))</f>
        <v/>
      </c>
      <c r="H302" s="56">
        <f>IF(OR(G302="",G302=0,D302=""),"",D302/G302*100)</f>
        <v/>
      </c>
      <c r="I302" s="57">
        <f>IF(OR(G302="",G302=0,F302=""),"",F302/G302)</f>
        <v/>
      </c>
      <c r="J302" s="38" t="n"/>
      <c r="K302" s="38" t="n"/>
      <c r="L302" s="38" t="n"/>
    </row>
    <row r="303">
      <c r="A303" s="33" t="n"/>
      <c r="B303" s="32" t="n"/>
      <c r="C303" s="41" t="n"/>
      <c r="D303" s="58" t="n"/>
      <c r="E303" s="59" t="n"/>
      <c r="F303" s="55">
        <f>IF(OR(D303="",E303=""),"",D303*E303)</f>
        <v/>
      </c>
      <c r="G303" s="48">
        <f>IF(OR(B303="",C303=""),"",IFERROR(IF(MAXIFS($C$4:C302,$B$4:B302,B303)=0,"",C303-MAXIFS($C$4:C302,$B$4:B302,B303)),""))</f>
        <v/>
      </c>
      <c r="H303" s="56">
        <f>IF(OR(G303="",G303=0,D303=""),"",D303/G303*100)</f>
        <v/>
      </c>
      <c r="I303" s="57">
        <f>IF(OR(G303="",G303=0,F303=""),"",F303/G303)</f>
        <v/>
      </c>
      <c r="J303" s="40" t="n"/>
      <c r="K303" s="40" t="n"/>
      <c r="L303" s="40" t="n"/>
    </row>
    <row r="304">
      <c r="A304" s="35" t="n"/>
      <c r="B304" s="34" t="n"/>
      <c r="C304" s="39" t="n"/>
      <c r="D304" s="53" t="n"/>
      <c r="E304" s="54" t="n"/>
      <c r="F304" s="55">
        <f>IF(OR(D304="",E304=""),"",D304*E304)</f>
        <v/>
      </c>
      <c r="G304" s="48">
        <f>IF(OR(B304="",C304=""),"",IFERROR(IF(MAXIFS($C$4:C303,$B$4:B303,B304)=0,"",C304-MAXIFS($C$4:C303,$B$4:B303,B304)),""))</f>
        <v/>
      </c>
      <c r="H304" s="56">
        <f>IF(OR(G304="",G304=0,D304=""),"",D304/G304*100)</f>
        <v/>
      </c>
      <c r="I304" s="57">
        <f>IF(OR(G304="",G304=0,F304=""),"",F304/G304)</f>
        <v/>
      </c>
      <c r="J304" s="38" t="n"/>
      <c r="K304" s="38" t="n"/>
      <c r="L304" s="38" t="n"/>
    </row>
    <row r="305">
      <c r="A305" s="33" t="n"/>
      <c r="B305" s="32" t="n"/>
      <c r="C305" s="41" t="n"/>
      <c r="D305" s="58" t="n"/>
      <c r="E305" s="59" t="n"/>
      <c r="F305" s="55">
        <f>IF(OR(D305="",E305=""),"",D305*E305)</f>
        <v/>
      </c>
      <c r="G305" s="48">
        <f>IF(OR(B305="",C305=""),"",IFERROR(IF(MAXIFS($C$4:C304,$B$4:B304,B305)=0,"",C305-MAXIFS($C$4:C304,$B$4:B304,B305)),""))</f>
        <v/>
      </c>
      <c r="H305" s="56">
        <f>IF(OR(G305="",G305=0,D305=""),"",D305/G305*100)</f>
        <v/>
      </c>
      <c r="I305" s="57">
        <f>IF(OR(G305="",G305=0,F305=""),"",F305/G305)</f>
        <v/>
      </c>
      <c r="J305" s="40" t="n"/>
      <c r="K305" s="40" t="n"/>
      <c r="L305" s="40" t="n"/>
    </row>
    <row r="306">
      <c r="A306" s="35" t="n"/>
      <c r="B306" s="34" t="n"/>
      <c r="C306" s="39" t="n"/>
      <c r="D306" s="53" t="n"/>
      <c r="E306" s="54" t="n"/>
      <c r="F306" s="55">
        <f>IF(OR(D306="",E306=""),"",D306*E306)</f>
        <v/>
      </c>
      <c r="G306" s="48">
        <f>IF(OR(B306="",C306=""),"",IFERROR(IF(MAXIFS($C$4:C305,$B$4:B305,B306)=0,"",C306-MAXIFS($C$4:C305,$B$4:B305,B306)),""))</f>
        <v/>
      </c>
      <c r="H306" s="56">
        <f>IF(OR(G306="",G306=0,D306=""),"",D306/G306*100)</f>
        <v/>
      </c>
      <c r="I306" s="57">
        <f>IF(OR(G306="",G306=0,F306=""),"",F306/G306)</f>
        <v/>
      </c>
      <c r="J306" s="38" t="n"/>
      <c r="K306" s="38" t="n"/>
      <c r="L306" s="38" t="n"/>
    </row>
    <row r="307">
      <c r="A307" s="33" t="n"/>
      <c r="B307" s="32" t="n"/>
      <c r="C307" s="41" t="n"/>
      <c r="D307" s="58" t="n"/>
      <c r="E307" s="59" t="n"/>
      <c r="F307" s="55">
        <f>IF(OR(D307="",E307=""),"",D307*E307)</f>
        <v/>
      </c>
      <c r="G307" s="48">
        <f>IF(OR(B307="",C307=""),"",IFERROR(IF(MAXIFS($C$4:C306,$B$4:B306,B307)=0,"",C307-MAXIFS($C$4:C306,$B$4:B306,B307)),""))</f>
        <v/>
      </c>
      <c r="H307" s="56">
        <f>IF(OR(G307="",G307=0,D307=""),"",D307/G307*100)</f>
        <v/>
      </c>
      <c r="I307" s="57">
        <f>IF(OR(G307="",G307=0,F307=""),"",F307/G307)</f>
        <v/>
      </c>
      <c r="J307" s="40" t="n"/>
      <c r="K307" s="40" t="n"/>
      <c r="L307" s="40" t="n"/>
    </row>
    <row r="308">
      <c r="A308" s="35" t="n"/>
      <c r="B308" s="34" t="n"/>
      <c r="C308" s="39" t="n"/>
      <c r="D308" s="53" t="n"/>
      <c r="E308" s="54" t="n"/>
      <c r="F308" s="55">
        <f>IF(OR(D308="",E308=""),"",D308*E308)</f>
        <v/>
      </c>
      <c r="G308" s="48">
        <f>IF(OR(B308="",C308=""),"",IFERROR(IF(MAXIFS($C$4:C307,$B$4:B307,B308)=0,"",C308-MAXIFS($C$4:C307,$B$4:B307,B308)),""))</f>
        <v/>
      </c>
      <c r="H308" s="56">
        <f>IF(OR(G308="",G308=0,D308=""),"",D308/G308*100)</f>
        <v/>
      </c>
      <c r="I308" s="57">
        <f>IF(OR(G308="",G308=0,F308=""),"",F308/G308)</f>
        <v/>
      </c>
      <c r="J308" s="38" t="n"/>
      <c r="K308" s="38" t="n"/>
      <c r="L308" s="38" t="n"/>
    </row>
    <row r="309">
      <c r="A309" s="33" t="n"/>
      <c r="B309" s="32" t="n"/>
      <c r="C309" s="41" t="n"/>
      <c r="D309" s="58" t="n"/>
      <c r="E309" s="59" t="n"/>
      <c r="F309" s="55">
        <f>IF(OR(D309="",E309=""),"",D309*E309)</f>
        <v/>
      </c>
      <c r="G309" s="48">
        <f>IF(OR(B309="",C309=""),"",IFERROR(IF(MAXIFS($C$4:C308,$B$4:B308,B309)=0,"",C309-MAXIFS($C$4:C308,$B$4:B308,B309)),""))</f>
        <v/>
      </c>
      <c r="H309" s="56">
        <f>IF(OR(G309="",G309=0,D309=""),"",D309/G309*100)</f>
        <v/>
      </c>
      <c r="I309" s="57">
        <f>IF(OR(G309="",G309=0,F309=""),"",F309/G309)</f>
        <v/>
      </c>
      <c r="J309" s="40" t="n"/>
      <c r="K309" s="40" t="n"/>
      <c r="L309" s="40" t="n"/>
    </row>
    <row r="310">
      <c r="A310" s="35" t="n"/>
      <c r="B310" s="34" t="n"/>
      <c r="C310" s="39" t="n"/>
      <c r="D310" s="53" t="n"/>
      <c r="E310" s="54" t="n"/>
      <c r="F310" s="55">
        <f>IF(OR(D310="",E310=""),"",D310*E310)</f>
        <v/>
      </c>
      <c r="G310" s="48">
        <f>IF(OR(B310="",C310=""),"",IFERROR(IF(MAXIFS($C$4:C309,$B$4:B309,B310)=0,"",C310-MAXIFS($C$4:C309,$B$4:B309,B310)),""))</f>
        <v/>
      </c>
      <c r="H310" s="56">
        <f>IF(OR(G310="",G310=0,D310=""),"",D310/G310*100)</f>
        <v/>
      </c>
      <c r="I310" s="57">
        <f>IF(OR(G310="",G310=0,F310=""),"",F310/G310)</f>
        <v/>
      </c>
      <c r="J310" s="38" t="n"/>
      <c r="K310" s="38" t="n"/>
      <c r="L310" s="38" t="n"/>
    </row>
    <row r="311">
      <c r="A311" s="33" t="n"/>
      <c r="B311" s="32" t="n"/>
      <c r="C311" s="41" t="n"/>
      <c r="D311" s="58" t="n"/>
      <c r="E311" s="59" t="n"/>
      <c r="F311" s="55">
        <f>IF(OR(D311="",E311=""),"",D311*E311)</f>
        <v/>
      </c>
      <c r="G311" s="48">
        <f>IF(OR(B311="",C311=""),"",IFERROR(IF(MAXIFS($C$4:C310,$B$4:B310,B311)=0,"",C311-MAXIFS($C$4:C310,$B$4:B310,B311)),""))</f>
        <v/>
      </c>
      <c r="H311" s="56">
        <f>IF(OR(G311="",G311=0,D311=""),"",D311/G311*100)</f>
        <v/>
      </c>
      <c r="I311" s="57">
        <f>IF(OR(G311="",G311=0,F311=""),"",F311/G311)</f>
        <v/>
      </c>
      <c r="J311" s="40" t="n"/>
      <c r="K311" s="40" t="n"/>
      <c r="L311" s="40" t="n"/>
    </row>
    <row r="312">
      <c r="A312" s="35" t="n"/>
      <c r="B312" s="34" t="n"/>
      <c r="C312" s="39" t="n"/>
      <c r="D312" s="53" t="n"/>
      <c r="E312" s="54" t="n"/>
      <c r="F312" s="55">
        <f>IF(OR(D312="",E312=""),"",D312*E312)</f>
        <v/>
      </c>
      <c r="G312" s="48">
        <f>IF(OR(B312="",C312=""),"",IFERROR(IF(MAXIFS($C$4:C311,$B$4:B311,B312)=0,"",C312-MAXIFS($C$4:C311,$B$4:B311,B312)),""))</f>
        <v/>
      </c>
      <c r="H312" s="56">
        <f>IF(OR(G312="",G312=0,D312=""),"",D312/G312*100)</f>
        <v/>
      </c>
      <c r="I312" s="57">
        <f>IF(OR(G312="",G312=0,F312=""),"",F312/G312)</f>
        <v/>
      </c>
      <c r="J312" s="38" t="n"/>
      <c r="K312" s="38" t="n"/>
      <c r="L312" s="38" t="n"/>
    </row>
    <row r="313">
      <c r="A313" s="33" t="n"/>
      <c r="B313" s="32" t="n"/>
      <c r="C313" s="41" t="n"/>
      <c r="D313" s="58" t="n"/>
      <c r="E313" s="59" t="n"/>
      <c r="F313" s="55">
        <f>IF(OR(D313="",E313=""),"",D313*E313)</f>
        <v/>
      </c>
      <c r="G313" s="48">
        <f>IF(OR(B313="",C313=""),"",IFERROR(IF(MAXIFS($C$4:C312,$B$4:B312,B313)=0,"",C313-MAXIFS($C$4:C312,$B$4:B312,B313)),""))</f>
        <v/>
      </c>
      <c r="H313" s="56">
        <f>IF(OR(G313="",G313=0,D313=""),"",D313/G313*100)</f>
        <v/>
      </c>
      <c r="I313" s="57">
        <f>IF(OR(G313="",G313=0,F313=""),"",F313/G313)</f>
        <v/>
      </c>
      <c r="J313" s="40" t="n"/>
      <c r="K313" s="40" t="n"/>
      <c r="L313" s="40" t="n"/>
    </row>
    <row r="314">
      <c r="A314" s="35" t="n"/>
      <c r="B314" s="34" t="n"/>
      <c r="C314" s="39" t="n"/>
      <c r="D314" s="53" t="n"/>
      <c r="E314" s="54" t="n"/>
      <c r="F314" s="55">
        <f>IF(OR(D314="",E314=""),"",D314*E314)</f>
        <v/>
      </c>
      <c r="G314" s="48">
        <f>IF(OR(B314="",C314=""),"",IFERROR(IF(MAXIFS($C$4:C313,$B$4:B313,B314)=0,"",C314-MAXIFS($C$4:C313,$B$4:B313,B314)),""))</f>
        <v/>
      </c>
      <c r="H314" s="56">
        <f>IF(OR(G314="",G314=0,D314=""),"",D314/G314*100)</f>
        <v/>
      </c>
      <c r="I314" s="57">
        <f>IF(OR(G314="",G314=0,F314=""),"",F314/G314)</f>
        <v/>
      </c>
      <c r="J314" s="38" t="n"/>
      <c r="K314" s="38" t="n"/>
      <c r="L314" s="38" t="n"/>
    </row>
    <row r="315">
      <c r="A315" s="33" t="n"/>
      <c r="B315" s="32" t="n"/>
      <c r="C315" s="41" t="n"/>
      <c r="D315" s="58" t="n"/>
      <c r="E315" s="59" t="n"/>
      <c r="F315" s="55">
        <f>IF(OR(D315="",E315=""),"",D315*E315)</f>
        <v/>
      </c>
      <c r="G315" s="48">
        <f>IF(OR(B315="",C315=""),"",IFERROR(IF(MAXIFS($C$4:C314,$B$4:B314,B315)=0,"",C315-MAXIFS($C$4:C314,$B$4:B314,B315)),""))</f>
        <v/>
      </c>
      <c r="H315" s="56">
        <f>IF(OR(G315="",G315=0,D315=""),"",D315/G315*100)</f>
        <v/>
      </c>
      <c r="I315" s="57">
        <f>IF(OR(G315="",G315=0,F315=""),"",F315/G315)</f>
        <v/>
      </c>
      <c r="J315" s="40" t="n"/>
      <c r="K315" s="40" t="n"/>
      <c r="L315" s="40" t="n"/>
    </row>
    <row r="316">
      <c r="A316" s="35" t="n"/>
      <c r="B316" s="34" t="n"/>
      <c r="C316" s="39" t="n"/>
      <c r="D316" s="53" t="n"/>
      <c r="E316" s="54" t="n"/>
      <c r="F316" s="55">
        <f>IF(OR(D316="",E316=""),"",D316*E316)</f>
        <v/>
      </c>
      <c r="G316" s="48">
        <f>IF(OR(B316="",C316=""),"",IFERROR(IF(MAXIFS($C$4:C315,$B$4:B315,B316)=0,"",C316-MAXIFS($C$4:C315,$B$4:B315,B316)),""))</f>
        <v/>
      </c>
      <c r="H316" s="56">
        <f>IF(OR(G316="",G316=0,D316=""),"",D316/G316*100)</f>
        <v/>
      </c>
      <c r="I316" s="57">
        <f>IF(OR(G316="",G316=0,F316=""),"",F316/G316)</f>
        <v/>
      </c>
      <c r="J316" s="38" t="n"/>
      <c r="K316" s="38" t="n"/>
      <c r="L316" s="38" t="n"/>
    </row>
    <row r="317">
      <c r="A317" s="33" t="n"/>
      <c r="B317" s="32" t="n"/>
      <c r="C317" s="41" t="n"/>
      <c r="D317" s="58" t="n"/>
      <c r="E317" s="59" t="n"/>
      <c r="F317" s="55">
        <f>IF(OR(D317="",E317=""),"",D317*E317)</f>
        <v/>
      </c>
      <c r="G317" s="48">
        <f>IF(OR(B317="",C317=""),"",IFERROR(IF(MAXIFS($C$4:C316,$B$4:B316,B317)=0,"",C317-MAXIFS($C$4:C316,$B$4:B316,B317)),""))</f>
        <v/>
      </c>
      <c r="H317" s="56">
        <f>IF(OR(G317="",G317=0,D317=""),"",D317/G317*100)</f>
        <v/>
      </c>
      <c r="I317" s="57">
        <f>IF(OR(G317="",G317=0,F317=""),"",F317/G317)</f>
        <v/>
      </c>
      <c r="J317" s="40" t="n"/>
      <c r="K317" s="40" t="n"/>
      <c r="L317" s="40" t="n"/>
    </row>
    <row r="318">
      <c r="A318" s="35" t="n"/>
      <c r="B318" s="34" t="n"/>
      <c r="C318" s="39" t="n"/>
      <c r="D318" s="53" t="n"/>
      <c r="E318" s="54" t="n"/>
      <c r="F318" s="55">
        <f>IF(OR(D318="",E318=""),"",D318*E318)</f>
        <v/>
      </c>
      <c r="G318" s="48">
        <f>IF(OR(B318="",C318=""),"",IFERROR(IF(MAXIFS($C$4:C317,$B$4:B317,B318)=0,"",C318-MAXIFS($C$4:C317,$B$4:B317,B318)),""))</f>
        <v/>
      </c>
      <c r="H318" s="56">
        <f>IF(OR(G318="",G318=0,D318=""),"",D318/G318*100)</f>
        <v/>
      </c>
      <c r="I318" s="57">
        <f>IF(OR(G318="",G318=0,F318=""),"",F318/G318)</f>
        <v/>
      </c>
      <c r="J318" s="38" t="n"/>
      <c r="K318" s="38" t="n"/>
      <c r="L318" s="38" t="n"/>
    </row>
    <row r="319">
      <c r="A319" s="33" t="n"/>
      <c r="B319" s="32" t="n"/>
      <c r="C319" s="41" t="n"/>
      <c r="D319" s="58" t="n"/>
      <c r="E319" s="59" t="n"/>
      <c r="F319" s="55">
        <f>IF(OR(D319="",E319=""),"",D319*E319)</f>
        <v/>
      </c>
      <c r="G319" s="48">
        <f>IF(OR(B319="",C319=""),"",IFERROR(IF(MAXIFS($C$4:C318,$B$4:B318,B319)=0,"",C319-MAXIFS($C$4:C318,$B$4:B318,B319)),""))</f>
        <v/>
      </c>
      <c r="H319" s="56">
        <f>IF(OR(G319="",G319=0,D319=""),"",D319/G319*100)</f>
        <v/>
      </c>
      <c r="I319" s="57">
        <f>IF(OR(G319="",G319=0,F319=""),"",F319/G319)</f>
        <v/>
      </c>
      <c r="J319" s="40" t="n"/>
      <c r="K319" s="40" t="n"/>
      <c r="L319" s="40" t="n"/>
    </row>
    <row r="320">
      <c r="A320" s="35" t="n"/>
      <c r="B320" s="34" t="n"/>
      <c r="C320" s="39" t="n"/>
      <c r="D320" s="53" t="n"/>
      <c r="E320" s="54" t="n"/>
      <c r="F320" s="55">
        <f>IF(OR(D320="",E320=""),"",D320*E320)</f>
        <v/>
      </c>
      <c r="G320" s="48">
        <f>IF(OR(B320="",C320=""),"",IFERROR(IF(MAXIFS($C$4:C319,$B$4:B319,B320)=0,"",C320-MAXIFS($C$4:C319,$B$4:B319,B320)),""))</f>
        <v/>
      </c>
      <c r="H320" s="56">
        <f>IF(OR(G320="",G320=0,D320=""),"",D320/G320*100)</f>
        <v/>
      </c>
      <c r="I320" s="57">
        <f>IF(OR(G320="",G320=0,F320=""),"",F320/G320)</f>
        <v/>
      </c>
      <c r="J320" s="38" t="n"/>
      <c r="K320" s="38" t="n"/>
      <c r="L320" s="38" t="n"/>
    </row>
    <row r="321">
      <c r="A321" s="33" t="n"/>
      <c r="B321" s="32" t="n"/>
      <c r="C321" s="41" t="n"/>
      <c r="D321" s="58" t="n"/>
      <c r="E321" s="59" t="n"/>
      <c r="F321" s="55">
        <f>IF(OR(D321="",E321=""),"",D321*E321)</f>
        <v/>
      </c>
      <c r="G321" s="48">
        <f>IF(OR(B321="",C321=""),"",IFERROR(IF(MAXIFS($C$4:C320,$B$4:B320,B321)=0,"",C321-MAXIFS($C$4:C320,$B$4:B320,B321)),""))</f>
        <v/>
      </c>
      <c r="H321" s="56">
        <f>IF(OR(G321="",G321=0,D321=""),"",D321/G321*100)</f>
        <v/>
      </c>
      <c r="I321" s="57">
        <f>IF(OR(G321="",G321=0,F321=""),"",F321/G321)</f>
        <v/>
      </c>
      <c r="J321" s="40" t="n"/>
      <c r="K321" s="40" t="n"/>
      <c r="L321" s="40" t="n"/>
    </row>
    <row r="322">
      <c r="A322" s="35" t="n"/>
      <c r="B322" s="34" t="n"/>
      <c r="C322" s="39" t="n"/>
      <c r="D322" s="53" t="n"/>
      <c r="E322" s="54" t="n"/>
      <c r="F322" s="55">
        <f>IF(OR(D322="",E322=""),"",D322*E322)</f>
        <v/>
      </c>
      <c r="G322" s="48">
        <f>IF(OR(B322="",C322=""),"",IFERROR(IF(MAXIFS($C$4:C321,$B$4:B321,B322)=0,"",C322-MAXIFS($C$4:C321,$B$4:B321,B322)),""))</f>
        <v/>
      </c>
      <c r="H322" s="56">
        <f>IF(OR(G322="",G322=0,D322=""),"",D322/G322*100)</f>
        <v/>
      </c>
      <c r="I322" s="57">
        <f>IF(OR(G322="",G322=0,F322=""),"",F322/G322)</f>
        <v/>
      </c>
      <c r="J322" s="38" t="n"/>
      <c r="K322" s="38" t="n"/>
      <c r="L322" s="38" t="n"/>
    </row>
    <row r="323">
      <c r="A323" s="33" t="n"/>
      <c r="B323" s="32" t="n"/>
      <c r="C323" s="41" t="n"/>
      <c r="D323" s="58" t="n"/>
      <c r="E323" s="59" t="n"/>
      <c r="F323" s="55">
        <f>IF(OR(D323="",E323=""),"",D323*E323)</f>
        <v/>
      </c>
      <c r="G323" s="48">
        <f>IF(OR(B323="",C323=""),"",IFERROR(IF(MAXIFS($C$4:C322,$B$4:B322,B323)=0,"",C323-MAXIFS($C$4:C322,$B$4:B322,B323)),""))</f>
        <v/>
      </c>
      <c r="H323" s="56">
        <f>IF(OR(G323="",G323=0,D323=""),"",D323/G323*100)</f>
        <v/>
      </c>
      <c r="I323" s="57">
        <f>IF(OR(G323="",G323=0,F323=""),"",F323/G323)</f>
        <v/>
      </c>
      <c r="J323" s="40" t="n"/>
      <c r="K323" s="40" t="n"/>
      <c r="L323" s="40" t="n"/>
    </row>
    <row r="324">
      <c r="A324" s="35" t="n"/>
      <c r="B324" s="34" t="n"/>
      <c r="C324" s="39" t="n"/>
      <c r="D324" s="53" t="n"/>
      <c r="E324" s="54" t="n"/>
      <c r="F324" s="55">
        <f>IF(OR(D324="",E324=""),"",D324*E324)</f>
        <v/>
      </c>
      <c r="G324" s="48">
        <f>IF(OR(B324="",C324=""),"",IFERROR(IF(MAXIFS($C$4:C323,$B$4:B323,B324)=0,"",C324-MAXIFS($C$4:C323,$B$4:B323,B324)),""))</f>
        <v/>
      </c>
      <c r="H324" s="56">
        <f>IF(OR(G324="",G324=0,D324=""),"",D324/G324*100)</f>
        <v/>
      </c>
      <c r="I324" s="57">
        <f>IF(OR(G324="",G324=0,F324=""),"",F324/G324)</f>
        <v/>
      </c>
      <c r="J324" s="38" t="n"/>
      <c r="K324" s="38" t="n"/>
      <c r="L324" s="38" t="n"/>
    </row>
    <row r="325">
      <c r="A325" s="33" t="n"/>
      <c r="B325" s="32" t="n"/>
      <c r="C325" s="41" t="n"/>
      <c r="D325" s="58" t="n"/>
      <c r="E325" s="59" t="n"/>
      <c r="F325" s="55">
        <f>IF(OR(D325="",E325=""),"",D325*E325)</f>
        <v/>
      </c>
      <c r="G325" s="48">
        <f>IF(OR(B325="",C325=""),"",IFERROR(IF(MAXIFS($C$4:C324,$B$4:B324,B325)=0,"",C325-MAXIFS($C$4:C324,$B$4:B324,B325)),""))</f>
        <v/>
      </c>
      <c r="H325" s="56">
        <f>IF(OR(G325="",G325=0,D325=""),"",D325/G325*100)</f>
        <v/>
      </c>
      <c r="I325" s="57">
        <f>IF(OR(G325="",G325=0,F325=""),"",F325/G325)</f>
        <v/>
      </c>
      <c r="J325" s="40" t="n"/>
      <c r="K325" s="40" t="n"/>
      <c r="L325" s="40" t="n"/>
    </row>
    <row r="326">
      <c r="A326" s="35" t="n"/>
      <c r="B326" s="34" t="n"/>
      <c r="C326" s="39" t="n"/>
      <c r="D326" s="53" t="n"/>
      <c r="E326" s="54" t="n"/>
      <c r="F326" s="55">
        <f>IF(OR(D326="",E326=""),"",D326*E326)</f>
        <v/>
      </c>
      <c r="G326" s="48">
        <f>IF(OR(B326="",C326=""),"",IFERROR(IF(MAXIFS($C$4:C325,$B$4:B325,B326)=0,"",C326-MAXIFS($C$4:C325,$B$4:B325,B326)),""))</f>
        <v/>
      </c>
      <c r="H326" s="56">
        <f>IF(OR(G326="",G326=0,D326=""),"",D326/G326*100)</f>
        <v/>
      </c>
      <c r="I326" s="57">
        <f>IF(OR(G326="",G326=0,F326=""),"",F326/G326)</f>
        <v/>
      </c>
      <c r="J326" s="38" t="n"/>
      <c r="K326" s="38" t="n"/>
      <c r="L326" s="38" t="n"/>
    </row>
    <row r="327">
      <c r="A327" s="33" t="n"/>
      <c r="B327" s="32" t="n"/>
      <c r="C327" s="41" t="n"/>
      <c r="D327" s="58" t="n"/>
      <c r="E327" s="59" t="n"/>
      <c r="F327" s="55">
        <f>IF(OR(D327="",E327=""),"",D327*E327)</f>
        <v/>
      </c>
      <c r="G327" s="48">
        <f>IF(OR(B327="",C327=""),"",IFERROR(IF(MAXIFS($C$4:C326,$B$4:B326,B327)=0,"",C327-MAXIFS($C$4:C326,$B$4:B326,B327)),""))</f>
        <v/>
      </c>
      <c r="H327" s="56">
        <f>IF(OR(G327="",G327=0,D327=""),"",D327/G327*100)</f>
        <v/>
      </c>
      <c r="I327" s="57">
        <f>IF(OR(G327="",G327=0,F327=""),"",F327/G327)</f>
        <v/>
      </c>
      <c r="J327" s="40" t="n"/>
      <c r="K327" s="40" t="n"/>
      <c r="L327" s="40" t="n"/>
    </row>
    <row r="328">
      <c r="A328" s="35" t="n"/>
      <c r="B328" s="34" t="n"/>
      <c r="C328" s="39" t="n"/>
      <c r="D328" s="53" t="n"/>
      <c r="E328" s="54" t="n"/>
      <c r="F328" s="55">
        <f>IF(OR(D328="",E328=""),"",D328*E328)</f>
        <v/>
      </c>
      <c r="G328" s="48">
        <f>IF(OR(B328="",C328=""),"",IFERROR(IF(MAXIFS($C$4:C327,$B$4:B327,B328)=0,"",C328-MAXIFS($C$4:C327,$B$4:B327,B328)),""))</f>
        <v/>
      </c>
      <c r="H328" s="56">
        <f>IF(OR(G328="",G328=0,D328=""),"",D328/G328*100)</f>
        <v/>
      </c>
      <c r="I328" s="57">
        <f>IF(OR(G328="",G328=0,F328=""),"",F328/G328)</f>
        <v/>
      </c>
      <c r="J328" s="38" t="n"/>
      <c r="K328" s="38" t="n"/>
      <c r="L328" s="38" t="n"/>
    </row>
    <row r="329">
      <c r="A329" s="33" t="n"/>
      <c r="B329" s="32" t="n"/>
      <c r="C329" s="41" t="n"/>
      <c r="D329" s="58" t="n"/>
      <c r="E329" s="59" t="n"/>
      <c r="F329" s="55">
        <f>IF(OR(D329="",E329=""),"",D329*E329)</f>
        <v/>
      </c>
      <c r="G329" s="48">
        <f>IF(OR(B329="",C329=""),"",IFERROR(IF(MAXIFS($C$4:C328,$B$4:B328,B329)=0,"",C329-MAXIFS($C$4:C328,$B$4:B328,B329)),""))</f>
        <v/>
      </c>
      <c r="H329" s="56">
        <f>IF(OR(G329="",G329=0,D329=""),"",D329/G329*100)</f>
        <v/>
      </c>
      <c r="I329" s="57">
        <f>IF(OR(G329="",G329=0,F329=""),"",F329/G329)</f>
        <v/>
      </c>
      <c r="J329" s="40" t="n"/>
      <c r="K329" s="40" t="n"/>
      <c r="L329" s="40" t="n"/>
    </row>
    <row r="330">
      <c r="A330" s="35" t="n"/>
      <c r="B330" s="34" t="n"/>
      <c r="C330" s="39" t="n"/>
      <c r="D330" s="53" t="n"/>
      <c r="E330" s="54" t="n"/>
      <c r="F330" s="55">
        <f>IF(OR(D330="",E330=""),"",D330*E330)</f>
        <v/>
      </c>
      <c r="G330" s="48">
        <f>IF(OR(B330="",C330=""),"",IFERROR(IF(MAXIFS($C$4:C329,$B$4:B329,B330)=0,"",C330-MAXIFS($C$4:C329,$B$4:B329,B330)),""))</f>
        <v/>
      </c>
      <c r="H330" s="56">
        <f>IF(OR(G330="",G330=0,D330=""),"",D330/G330*100)</f>
        <v/>
      </c>
      <c r="I330" s="57">
        <f>IF(OR(G330="",G330=0,F330=""),"",F330/G330)</f>
        <v/>
      </c>
      <c r="J330" s="38" t="n"/>
      <c r="K330" s="38" t="n"/>
      <c r="L330" s="38" t="n"/>
    </row>
    <row r="331">
      <c r="A331" s="33" t="n"/>
      <c r="B331" s="32" t="n"/>
      <c r="C331" s="41" t="n"/>
      <c r="D331" s="58" t="n"/>
      <c r="E331" s="59" t="n"/>
      <c r="F331" s="55">
        <f>IF(OR(D331="",E331=""),"",D331*E331)</f>
        <v/>
      </c>
      <c r="G331" s="48">
        <f>IF(OR(B331="",C331=""),"",IFERROR(IF(MAXIFS($C$4:C330,$B$4:B330,B331)=0,"",C331-MAXIFS($C$4:C330,$B$4:B330,B331)),""))</f>
        <v/>
      </c>
      <c r="H331" s="56">
        <f>IF(OR(G331="",G331=0,D331=""),"",D331/G331*100)</f>
        <v/>
      </c>
      <c r="I331" s="57">
        <f>IF(OR(G331="",G331=0,F331=""),"",F331/G331)</f>
        <v/>
      </c>
      <c r="J331" s="40" t="n"/>
      <c r="K331" s="40" t="n"/>
      <c r="L331" s="40" t="n"/>
    </row>
    <row r="332">
      <c r="A332" s="35" t="n"/>
      <c r="B332" s="34" t="n"/>
      <c r="C332" s="39" t="n"/>
      <c r="D332" s="53" t="n"/>
      <c r="E332" s="54" t="n"/>
      <c r="F332" s="55">
        <f>IF(OR(D332="",E332=""),"",D332*E332)</f>
        <v/>
      </c>
      <c r="G332" s="48">
        <f>IF(OR(B332="",C332=""),"",IFERROR(IF(MAXIFS($C$4:C331,$B$4:B331,B332)=0,"",C332-MAXIFS($C$4:C331,$B$4:B331,B332)),""))</f>
        <v/>
      </c>
      <c r="H332" s="56">
        <f>IF(OR(G332="",G332=0,D332=""),"",D332/G332*100)</f>
        <v/>
      </c>
      <c r="I332" s="57">
        <f>IF(OR(G332="",G332=0,F332=""),"",F332/G332)</f>
        <v/>
      </c>
      <c r="J332" s="38" t="n"/>
      <c r="K332" s="38" t="n"/>
      <c r="L332" s="38" t="n"/>
    </row>
    <row r="333">
      <c r="A333" s="33" t="n"/>
      <c r="B333" s="32" t="n"/>
      <c r="C333" s="41" t="n"/>
      <c r="D333" s="58" t="n"/>
      <c r="E333" s="59" t="n"/>
      <c r="F333" s="55">
        <f>IF(OR(D333="",E333=""),"",D333*E333)</f>
        <v/>
      </c>
      <c r="G333" s="48">
        <f>IF(OR(B333="",C333=""),"",IFERROR(IF(MAXIFS($C$4:C332,$B$4:B332,B333)=0,"",C333-MAXIFS($C$4:C332,$B$4:B332,B333)),""))</f>
        <v/>
      </c>
      <c r="H333" s="56">
        <f>IF(OR(G333="",G333=0,D333=""),"",D333/G333*100)</f>
        <v/>
      </c>
      <c r="I333" s="57">
        <f>IF(OR(G333="",G333=0,F333=""),"",F333/G333)</f>
        <v/>
      </c>
      <c r="J333" s="40" t="n"/>
      <c r="K333" s="40" t="n"/>
      <c r="L333" s="40" t="n"/>
    </row>
    <row r="334">
      <c r="A334" s="35" t="n"/>
      <c r="B334" s="34" t="n"/>
      <c r="C334" s="39" t="n"/>
      <c r="D334" s="53" t="n"/>
      <c r="E334" s="54" t="n"/>
      <c r="F334" s="55">
        <f>IF(OR(D334="",E334=""),"",D334*E334)</f>
        <v/>
      </c>
      <c r="G334" s="48">
        <f>IF(OR(B334="",C334=""),"",IFERROR(IF(MAXIFS($C$4:C333,$B$4:B333,B334)=0,"",C334-MAXIFS($C$4:C333,$B$4:B333,B334)),""))</f>
        <v/>
      </c>
      <c r="H334" s="56">
        <f>IF(OR(G334="",G334=0,D334=""),"",D334/G334*100)</f>
        <v/>
      </c>
      <c r="I334" s="57">
        <f>IF(OR(G334="",G334=0,F334=""),"",F334/G334)</f>
        <v/>
      </c>
      <c r="J334" s="38" t="n"/>
      <c r="K334" s="38" t="n"/>
      <c r="L334" s="38" t="n"/>
    </row>
    <row r="335">
      <c r="A335" s="33" t="n"/>
      <c r="B335" s="32" t="n"/>
      <c r="C335" s="41" t="n"/>
      <c r="D335" s="58" t="n"/>
      <c r="E335" s="59" t="n"/>
      <c r="F335" s="55">
        <f>IF(OR(D335="",E335=""),"",D335*E335)</f>
        <v/>
      </c>
      <c r="G335" s="48">
        <f>IF(OR(B335="",C335=""),"",IFERROR(IF(MAXIFS($C$4:C334,$B$4:B334,B335)=0,"",C335-MAXIFS($C$4:C334,$B$4:B334,B335)),""))</f>
        <v/>
      </c>
      <c r="H335" s="56">
        <f>IF(OR(G335="",G335=0,D335=""),"",D335/G335*100)</f>
        <v/>
      </c>
      <c r="I335" s="57">
        <f>IF(OR(G335="",G335=0,F335=""),"",F335/G335)</f>
        <v/>
      </c>
      <c r="J335" s="40" t="n"/>
      <c r="K335" s="40" t="n"/>
      <c r="L335" s="40" t="n"/>
    </row>
    <row r="336">
      <c r="A336" s="35" t="n"/>
      <c r="B336" s="34" t="n"/>
      <c r="C336" s="39" t="n"/>
      <c r="D336" s="53" t="n"/>
      <c r="E336" s="54" t="n"/>
      <c r="F336" s="55">
        <f>IF(OR(D336="",E336=""),"",D336*E336)</f>
        <v/>
      </c>
      <c r="G336" s="48">
        <f>IF(OR(B336="",C336=""),"",IFERROR(IF(MAXIFS($C$4:C335,$B$4:B335,B336)=0,"",C336-MAXIFS($C$4:C335,$B$4:B335,B336)),""))</f>
        <v/>
      </c>
      <c r="H336" s="56">
        <f>IF(OR(G336="",G336=0,D336=""),"",D336/G336*100)</f>
        <v/>
      </c>
      <c r="I336" s="57">
        <f>IF(OR(G336="",G336=0,F336=""),"",F336/G336)</f>
        <v/>
      </c>
      <c r="J336" s="38" t="n"/>
      <c r="K336" s="38" t="n"/>
      <c r="L336" s="38" t="n"/>
    </row>
    <row r="337">
      <c r="A337" s="33" t="n"/>
      <c r="B337" s="32" t="n"/>
      <c r="C337" s="41" t="n"/>
      <c r="D337" s="58" t="n"/>
      <c r="E337" s="59" t="n"/>
      <c r="F337" s="55">
        <f>IF(OR(D337="",E337=""),"",D337*E337)</f>
        <v/>
      </c>
      <c r="G337" s="48">
        <f>IF(OR(B337="",C337=""),"",IFERROR(IF(MAXIFS($C$4:C336,$B$4:B336,B337)=0,"",C337-MAXIFS($C$4:C336,$B$4:B336,B337)),""))</f>
        <v/>
      </c>
      <c r="H337" s="56">
        <f>IF(OR(G337="",G337=0,D337=""),"",D337/G337*100)</f>
        <v/>
      </c>
      <c r="I337" s="57">
        <f>IF(OR(G337="",G337=0,F337=""),"",F337/G337)</f>
        <v/>
      </c>
      <c r="J337" s="40" t="n"/>
      <c r="K337" s="40" t="n"/>
      <c r="L337" s="40" t="n"/>
    </row>
    <row r="338">
      <c r="A338" s="35" t="n"/>
      <c r="B338" s="34" t="n"/>
      <c r="C338" s="39" t="n"/>
      <c r="D338" s="53" t="n"/>
      <c r="E338" s="54" t="n"/>
      <c r="F338" s="55">
        <f>IF(OR(D338="",E338=""),"",D338*E338)</f>
        <v/>
      </c>
      <c r="G338" s="48">
        <f>IF(OR(B338="",C338=""),"",IFERROR(IF(MAXIFS($C$4:C337,$B$4:B337,B338)=0,"",C338-MAXIFS($C$4:C337,$B$4:B337,B338)),""))</f>
        <v/>
      </c>
      <c r="H338" s="56">
        <f>IF(OR(G338="",G338=0,D338=""),"",D338/G338*100)</f>
        <v/>
      </c>
      <c r="I338" s="57">
        <f>IF(OR(G338="",G338=0,F338=""),"",F338/G338)</f>
        <v/>
      </c>
      <c r="J338" s="38" t="n"/>
      <c r="K338" s="38" t="n"/>
      <c r="L338" s="38" t="n"/>
    </row>
    <row r="339">
      <c r="A339" s="33" t="n"/>
      <c r="B339" s="32" t="n"/>
      <c r="C339" s="41" t="n"/>
      <c r="D339" s="58" t="n"/>
      <c r="E339" s="59" t="n"/>
      <c r="F339" s="55">
        <f>IF(OR(D339="",E339=""),"",D339*E339)</f>
        <v/>
      </c>
      <c r="G339" s="48">
        <f>IF(OR(B339="",C339=""),"",IFERROR(IF(MAXIFS($C$4:C338,$B$4:B338,B339)=0,"",C339-MAXIFS($C$4:C338,$B$4:B338,B339)),""))</f>
        <v/>
      </c>
      <c r="H339" s="56">
        <f>IF(OR(G339="",G339=0,D339=""),"",D339/G339*100)</f>
        <v/>
      </c>
      <c r="I339" s="57">
        <f>IF(OR(G339="",G339=0,F339=""),"",F339/G339)</f>
        <v/>
      </c>
      <c r="J339" s="40" t="n"/>
      <c r="K339" s="40" t="n"/>
      <c r="L339" s="40" t="n"/>
    </row>
    <row r="340">
      <c r="A340" s="35" t="n"/>
      <c r="B340" s="34" t="n"/>
      <c r="C340" s="39" t="n"/>
      <c r="D340" s="53" t="n"/>
      <c r="E340" s="54" t="n"/>
      <c r="F340" s="55">
        <f>IF(OR(D340="",E340=""),"",D340*E340)</f>
        <v/>
      </c>
      <c r="G340" s="48">
        <f>IF(OR(B340="",C340=""),"",IFERROR(IF(MAXIFS($C$4:C339,$B$4:B339,B340)=0,"",C340-MAXIFS($C$4:C339,$B$4:B339,B340)),""))</f>
        <v/>
      </c>
      <c r="H340" s="56">
        <f>IF(OR(G340="",G340=0,D340=""),"",D340/G340*100)</f>
        <v/>
      </c>
      <c r="I340" s="57">
        <f>IF(OR(G340="",G340=0,F340=""),"",F340/G340)</f>
        <v/>
      </c>
      <c r="J340" s="38" t="n"/>
      <c r="K340" s="38" t="n"/>
      <c r="L340" s="38" t="n"/>
    </row>
    <row r="341">
      <c r="A341" s="33" t="n"/>
      <c r="B341" s="32" t="n"/>
      <c r="C341" s="41" t="n"/>
      <c r="D341" s="58" t="n"/>
      <c r="E341" s="59" t="n"/>
      <c r="F341" s="55">
        <f>IF(OR(D341="",E341=""),"",D341*E341)</f>
        <v/>
      </c>
      <c r="G341" s="48">
        <f>IF(OR(B341="",C341=""),"",IFERROR(IF(MAXIFS($C$4:C340,$B$4:B340,B341)=0,"",C341-MAXIFS($C$4:C340,$B$4:B340,B341)),""))</f>
        <v/>
      </c>
      <c r="H341" s="56">
        <f>IF(OR(G341="",G341=0,D341=""),"",D341/G341*100)</f>
        <v/>
      </c>
      <c r="I341" s="57">
        <f>IF(OR(G341="",G341=0,F341=""),"",F341/G341)</f>
        <v/>
      </c>
      <c r="J341" s="40" t="n"/>
      <c r="K341" s="40" t="n"/>
      <c r="L341" s="40" t="n"/>
    </row>
    <row r="342">
      <c r="A342" s="35" t="n"/>
      <c r="B342" s="34" t="n"/>
      <c r="C342" s="39" t="n"/>
      <c r="D342" s="53" t="n"/>
      <c r="E342" s="54" t="n"/>
      <c r="F342" s="55">
        <f>IF(OR(D342="",E342=""),"",D342*E342)</f>
        <v/>
      </c>
      <c r="G342" s="48">
        <f>IF(OR(B342="",C342=""),"",IFERROR(IF(MAXIFS($C$4:C341,$B$4:B341,B342)=0,"",C342-MAXIFS($C$4:C341,$B$4:B341,B342)),""))</f>
        <v/>
      </c>
      <c r="H342" s="56">
        <f>IF(OR(G342="",G342=0,D342=""),"",D342/G342*100)</f>
        <v/>
      </c>
      <c r="I342" s="57">
        <f>IF(OR(G342="",G342=0,F342=""),"",F342/G342)</f>
        <v/>
      </c>
      <c r="J342" s="38" t="n"/>
      <c r="K342" s="38" t="n"/>
      <c r="L342" s="38" t="n"/>
    </row>
    <row r="343">
      <c r="A343" s="33" t="n"/>
      <c r="B343" s="32" t="n"/>
      <c r="C343" s="41" t="n"/>
      <c r="D343" s="58" t="n"/>
      <c r="E343" s="59" t="n"/>
      <c r="F343" s="55">
        <f>IF(OR(D343="",E343=""),"",D343*E343)</f>
        <v/>
      </c>
      <c r="G343" s="48">
        <f>IF(OR(B343="",C343=""),"",IFERROR(IF(MAXIFS($C$4:C342,$B$4:B342,B343)=0,"",C343-MAXIFS($C$4:C342,$B$4:B342,B343)),""))</f>
        <v/>
      </c>
      <c r="H343" s="56">
        <f>IF(OR(G343="",G343=0,D343=""),"",D343/G343*100)</f>
        <v/>
      </c>
      <c r="I343" s="57">
        <f>IF(OR(G343="",G343=0,F343=""),"",F343/G343)</f>
        <v/>
      </c>
      <c r="J343" s="40" t="n"/>
      <c r="K343" s="40" t="n"/>
      <c r="L343" s="40" t="n"/>
    </row>
    <row r="344">
      <c r="A344" s="35" t="n"/>
      <c r="B344" s="34" t="n"/>
      <c r="C344" s="39" t="n"/>
      <c r="D344" s="53" t="n"/>
      <c r="E344" s="54" t="n"/>
      <c r="F344" s="55">
        <f>IF(OR(D344="",E344=""),"",D344*E344)</f>
        <v/>
      </c>
      <c r="G344" s="48">
        <f>IF(OR(B344="",C344=""),"",IFERROR(IF(MAXIFS($C$4:C343,$B$4:B343,B344)=0,"",C344-MAXIFS($C$4:C343,$B$4:B343,B344)),""))</f>
        <v/>
      </c>
      <c r="H344" s="56">
        <f>IF(OR(G344="",G344=0,D344=""),"",D344/G344*100)</f>
        <v/>
      </c>
      <c r="I344" s="57">
        <f>IF(OR(G344="",G344=0,F344=""),"",F344/G344)</f>
        <v/>
      </c>
      <c r="J344" s="38" t="n"/>
      <c r="K344" s="38" t="n"/>
      <c r="L344" s="38" t="n"/>
    </row>
    <row r="345">
      <c r="A345" s="33" t="n"/>
      <c r="B345" s="32" t="n"/>
      <c r="C345" s="41" t="n"/>
      <c r="D345" s="58" t="n"/>
      <c r="E345" s="59" t="n"/>
      <c r="F345" s="55">
        <f>IF(OR(D345="",E345=""),"",D345*E345)</f>
        <v/>
      </c>
      <c r="G345" s="48">
        <f>IF(OR(B345="",C345=""),"",IFERROR(IF(MAXIFS($C$4:C344,$B$4:B344,B345)=0,"",C345-MAXIFS($C$4:C344,$B$4:B344,B345)),""))</f>
        <v/>
      </c>
      <c r="H345" s="56">
        <f>IF(OR(G345="",G345=0,D345=""),"",D345/G345*100)</f>
        <v/>
      </c>
      <c r="I345" s="57">
        <f>IF(OR(G345="",G345=0,F345=""),"",F345/G345)</f>
        <v/>
      </c>
      <c r="J345" s="40" t="n"/>
      <c r="K345" s="40" t="n"/>
      <c r="L345" s="40" t="n"/>
    </row>
    <row r="346">
      <c r="A346" s="35" t="n"/>
      <c r="B346" s="34" t="n"/>
      <c r="C346" s="39" t="n"/>
      <c r="D346" s="53" t="n"/>
      <c r="E346" s="54" t="n"/>
      <c r="F346" s="55">
        <f>IF(OR(D346="",E346=""),"",D346*E346)</f>
        <v/>
      </c>
      <c r="G346" s="48">
        <f>IF(OR(B346="",C346=""),"",IFERROR(IF(MAXIFS($C$4:C345,$B$4:B345,B346)=0,"",C346-MAXIFS($C$4:C345,$B$4:B345,B346)),""))</f>
        <v/>
      </c>
      <c r="H346" s="56">
        <f>IF(OR(G346="",G346=0,D346=""),"",D346/G346*100)</f>
        <v/>
      </c>
      <c r="I346" s="57">
        <f>IF(OR(G346="",G346=0,F346=""),"",F346/G346)</f>
        <v/>
      </c>
      <c r="J346" s="38" t="n"/>
      <c r="K346" s="38" t="n"/>
      <c r="L346" s="38" t="n"/>
    </row>
    <row r="347">
      <c r="A347" s="33" t="n"/>
      <c r="B347" s="32" t="n"/>
      <c r="C347" s="41" t="n"/>
      <c r="D347" s="58" t="n"/>
      <c r="E347" s="59" t="n"/>
      <c r="F347" s="55">
        <f>IF(OR(D347="",E347=""),"",D347*E347)</f>
        <v/>
      </c>
      <c r="G347" s="48">
        <f>IF(OR(B347="",C347=""),"",IFERROR(IF(MAXIFS($C$4:C346,$B$4:B346,B347)=0,"",C347-MAXIFS($C$4:C346,$B$4:B346,B347)),""))</f>
        <v/>
      </c>
      <c r="H347" s="56">
        <f>IF(OR(G347="",G347=0,D347=""),"",D347/G347*100)</f>
        <v/>
      </c>
      <c r="I347" s="57">
        <f>IF(OR(G347="",G347=0,F347=""),"",F347/G347)</f>
        <v/>
      </c>
      <c r="J347" s="40" t="n"/>
      <c r="K347" s="40" t="n"/>
      <c r="L347" s="40" t="n"/>
    </row>
    <row r="348">
      <c r="A348" s="35" t="n"/>
      <c r="B348" s="34" t="n"/>
      <c r="C348" s="39" t="n"/>
      <c r="D348" s="53" t="n"/>
      <c r="E348" s="54" t="n"/>
      <c r="F348" s="55">
        <f>IF(OR(D348="",E348=""),"",D348*E348)</f>
        <v/>
      </c>
      <c r="G348" s="48">
        <f>IF(OR(B348="",C348=""),"",IFERROR(IF(MAXIFS($C$4:C347,$B$4:B347,B348)=0,"",C348-MAXIFS($C$4:C347,$B$4:B347,B348)),""))</f>
        <v/>
      </c>
      <c r="H348" s="56">
        <f>IF(OR(G348="",G348=0,D348=""),"",D348/G348*100)</f>
        <v/>
      </c>
      <c r="I348" s="57">
        <f>IF(OR(G348="",G348=0,F348=""),"",F348/G348)</f>
        <v/>
      </c>
      <c r="J348" s="38" t="n"/>
      <c r="K348" s="38" t="n"/>
      <c r="L348" s="38" t="n"/>
    </row>
    <row r="349">
      <c r="A349" s="33" t="n"/>
      <c r="B349" s="32" t="n"/>
      <c r="C349" s="41" t="n"/>
      <c r="D349" s="58" t="n"/>
      <c r="E349" s="59" t="n"/>
      <c r="F349" s="55">
        <f>IF(OR(D349="",E349=""),"",D349*E349)</f>
        <v/>
      </c>
      <c r="G349" s="48">
        <f>IF(OR(B349="",C349=""),"",IFERROR(IF(MAXIFS($C$4:C348,$B$4:B348,B349)=0,"",C349-MAXIFS($C$4:C348,$B$4:B348,B349)),""))</f>
        <v/>
      </c>
      <c r="H349" s="56">
        <f>IF(OR(G349="",G349=0,D349=""),"",D349/G349*100)</f>
        <v/>
      </c>
      <c r="I349" s="57">
        <f>IF(OR(G349="",G349=0,F349=""),"",F349/G349)</f>
        <v/>
      </c>
      <c r="J349" s="40" t="n"/>
      <c r="K349" s="40" t="n"/>
      <c r="L349" s="40" t="n"/>
    </row>
    <row r="350">
      <c r="A350" s="35" t="n"/>
      <c r="B350" s="34" t="n"/>
      <c r="C350" s="39" t="n"/>
      <c r="D350" s="53" t="n"/>
      <c r="E350" s="54" t="n"/>
      <c r="F350" s="55">
        <f>IF(OR(D350="",E350=""),"",D350*E350)</f>
        <v/>
      </c>
      <c r="G350" s="48">
        <f>IF(OR(B350="",C350=""),"",IFERROR(IF(MAXIFS($C$4:C349,$B$4:B349,B350)=0,"",C350-MAXIFS($C$4:C349,$B$4:B349,B350)),""))</f>
        <v/>
      </c>
      <c r="H350" s="56">
        <f>IF(OR(G350="",G350=0,D350=""),"",D350/G350*100)</f>
        <v/>
      </c>
      <c r="I350" s="57">
        <f>IF(OR(G350="",G350=0,F350=""),"",F350/G350)</f>
        <v/>
      </c>
      <c r="J350" s="38" t="n"/>
      <c r="K350" s="38" t="n"/>
      <c r="L350" s="38" t="n"/>
    </row>
    <row r="351">
      <c r="A351" s="33" t="n"/>
      <c r="B351" s="32" t="n"/>
      <c r="C351" s="41" t="n"/>
      <c r="D351" s="58" t="n"/>
      <c r="E351" s="59" t="n"/>
      <c r="F351" s="55">
        <f>IF(OR(D351="",E351=""),"",D351*E351)</f>
        <v/>
      </c>
      <c r="G351" s="48">
        <f>IF(OR(B351="",C351=""),"",IFERROR(IF(MAXIFS($C$4:C350,$B$4:B350,B351)=0,"",C351-MAXIFS($C$4:C350,$B$4:B350,B351)),""))</f>
        <v/>
      </c>
      <c r="H351" s="56">
        <f>IF(OR(G351="",G351=0,D351=""),"",D351/G351*100)</f>
        <v/>
      </c>
      <c r="I351" s="57">
        <f>IF(OR(G351="",G351=0,F351=""),"",F351/G351)</f>
        <v/>
      </c>
      <c r="J351" s="40" t="n"/>
      <c r="K351" s="40" t="n"/>
      <c r="L351" s="40" t="n"/>
    </row>
    <row r="352">
      <c r="A352" s="35" t="n"/>
      <c r="B352" s="34" t="n"/>
      <c r="C352" s="39" t="n"/>
      <c r="D352" s="53" t="n"/>
      <c r="E352" s="54" t="n"/>
      <c r="F352" s="55">
        <f>IF(OR(D352="",E352=""),"",D352*E352)</f>
        <v/>
      </c>
      <c r="G352" s="48">
        <f>IF(OR(B352="",C352=""),"",IFERROR(IF(MAXIFS($C$4:C351,$B$4:B351,B352)=0,"",C352-MAXIFS($C$4:C351,$B$4:B351,B352)),""))</f>
        <v/>
      </c>
      <c r="H352" s="56">
        <f>IF(OR(G352="",G352=0,D352=""),"",D352/G352*100)</f>
        <v/>
      </c>
      <c r="I352" s="57">
        <f>IF(OR(G352="",G352=0,F352=""),"",F352/G352)</f>
        <v/>
      </c>
      <c r="J352" s="38" t="n"/>
      <c r="K352" s="38" t="n"/>
      <c r="L352" s="38" t="n"/>
    </row>
    <row r="353">
      <c r="A353" s="33" t="n"/>
      <c r="B353" s="32" t="n"/>
      <c r="C353" s="41" t="n"/>
      <c r="D353" s="58" t="n"/>
      <c r="E353" s="59" t="n"/>
      <c r="F353" s="55">
        <f>IF(OR(D353="",E353=""),"",D353*E353)</f>
        <v/>
      </c>
      <c r="G353" s="48">
        <f>IF(OR(B353="",C353=""),"",IFERROR(IF(MAXIFS($C$4:C352,$B$4:B352,B353)=0,"",C353-MAXIFS($C$4:C352,$B$4:B352,B353)),""))</f>
        <v/>
      </c>
      <c r="H353" s="56">
        <f>IF(OR(G353="",G353=0,D353=""),"",D353/G353*100)</f>
        <v/>
      </c>
      <c r="I353" s="57">
        <f>IF(OR(G353="",G353=0,F353=""),"",F353/G353)</f>
        <v/>
      </c>
      <c r="J353" s="40" t="n"/>
      <c r="K353" s="40" t="n"/>
      <c r="L353" s="40" t="n"/>
    </row>
    <row r="354">
      <c r="A354" s="35" t="n"/>
      <c r="B354" s="34" t="n"/>
      <c r="C354" s="39" t="n"/>
      <c r="D354" s="53" t="n"/>
      <c r="E354" s="54" t="n"/>
      <c r="F354" s="55">
        <f>IF(OR(D354="",E354=""),"",D354*E354)</f>
        <v/>
      </c>
      <c r="G354" s="48">
        <f>IF(OR(B354="",C354=""),"",IFERROR(IF(MAXIFS($C$4:C353,$B$4:B353,B354)=0,"",C354-MAXIFS($C$4:C353,$B$4:B353,B354)),""))</f>
        <v/>
      </c>
      <c r="H354" s="56">
        <f>IF(OR(G354="",G354=0,D354=""),"",D354/G354*100)</f>
        <v/>
      </c>
      <c r="I354" s="57">
        <f>IF(OR(G354="",G354=0,F354=""),"",F354/G354)</f>
        <v/>
      </c>
      <c r="J354" s="38" t="n"/>
      <c r="K354" s="38" t="n"/>
      <c r="L354" s="38" t="n"/>
    </row>
    <row r="355">
      <c r="A355" s="33" t="n"/>
      <c r="B355" s="32" t="n"/>
      <c r="C355" s="41" t="n"/>
      <c r="D355" s="58" t="n"/>
      <c r="E355" s="59" t="n"/>
      <c r="F355" s="55">
        <f>IF(OR(D355="",E355=""),"",D355*E355)</f>
        <v/>
      </c>
      <c r="G355" s="48">
        <f>IF(OR(B355="",C355=""),"",IFERROR(IF(MAXIFS($C$4:C354,$B$4:B354,B355)=0,"",C355-MAXIFS($C$4:C354,$B$4:B354,B355)),""))</f>
        <v/>
      </c>
      <c r="H355" s="56">
        <f>IF(OR(G355="",G355=0,D355=""),"",D355/G355*100)</f>
        <v/>
      </c>
      <c r="I355" s="57">
        <f>IF(OR(G355="",G355=0,F355=""),"",F355/G355)</f>
        <v/>
      </c>
      <c r="J355" s="40" t="n"/>
      <c r="K355" s="40" t="n"/>
      <c r="L355" s="40" t="n"/>
    </row>
    <row r="356">
      <c r="A356" s="35" t="n"/>
      <c r="B356" s="34" t="n"/>
      <c r="C356" s="39" t="n"/>
      <c r="D356" s="53" t="n"/>
      <c r="E356" s="54" t="n"/>
      <c r="F356" s="55">
        <f>IF(OR(D356="",E356=""),"",D356*E356)</f>
        <v/>
      </c>
      <c r="G356" s="48">
        <f>IF(OR(B356="",C356=""),"",IFERROR(IF(MAXIFS($C$4:C355,$B$4:B355,B356)=0,"",C356-MAXIFS($C$4:C355,$B$4:B355,B356)),""))</f>
        <v/>
      </c>
      <c r="H356" s="56">
        <f>IF(OR(G356="",G356=0,D356=""),"",D356/G356*100)</f>
        <v/>
      </c>
      <c r="I356" s="57">
        <f>IF(OR(G356="",G356=0,F356=""),"",F356/G356)</f>
        <v/>
      </c>
      <c r="J356" s="38" t="n"/>
      <c r="K356" s="38" t="n"/>
      <c r="L356" s="38" t="n"/>
    </row>
    <row r="357">
      <c r="A357" s="33" t="n"/>
      <c r="B357" s="32" t="n"/>
      <c r="C357" s="41" t="n"/>
      <c r="D357" s="58" t="n"/>
      <c r="E357" s="59" t="n"/>
      <c r="F357" s="55">
        <f>IF(OR(D357="",E357=""),"",D357*E357)</f>
        <v/>
      </c>
      <c r="G357" s="48">
        <f>IF(OR(B357="",C357=""),"",IFERROR(IF(MAXIFS($C$4:C356,$B$4:B356,B357)=0,"",C357-MAXIFS($C$4:C356,$B$4:B356,B357)),""))</f>
        <v/>
      </c>
      <c r="H357" s="56">
        <f>IF(OR(G357="",G357=0,D357=""),"",D357/G357*100)</f>
        <v/>
      </c>
      <c r="I357" s="57">
        <f>IF(OR(G357="",G357=0,F357=""),"",F357/G357)</f>
        <v/>
      </c>
      <c r="J357" s="40" t="n"/>
      <c r="K357" s="40" t="n"/>
      <c r="L357" s="40" t="n"/>
    </row>
    <row r="358">
      <c r="A358" s="35" t="n"/>
      <c r="B358" s="34" t="n"/>
      <c r="C358" s="39" t="n"/>
      <c r="D358" s="53" t="n"/>
      <c r="E358" s="54" t="n"/>
      <c r="F358" s="55">
        <f>IF(OR(D358="",E358=""),"",D358*E358)</f>
        <v/>
      </c>
      <c r="G358" s="48">
        <f>IF(OR(B358="",C358=""),"",IFERROR(IF(MAXIFS($C$4:C357,$B$4:B357,B358)=0,"",C358-MAXIFS($C$4:C357,$B$4:B357,B358)),""))</f>
        <v/>
      </c>
      <c r="H358" s="56">
        <f>IF(OR(G358="",G358=0,D358=""),"",D358/G358*100)</f>
        <v/>
      </c>
      <c r="I358" s="57">
        <f>IF(OR(G358="",G358=0,F358=""),"",F358/G358)</f>
        <v/>
      </c>
      <c r="J358" s="38" t="n"/>
      <c r="K358" s="38" t="n"/>
      <c r="L358" s="38" t="n"/>
    </row>
    <row r="359">
      <c r="A359" s="33" t="n"/>
      <c r="B359" s="32" t="n"/>
      <c r="C359" s="41" t="n"/>
      <c r="D359" s="58" t="n"/>
      <c r="E359" s="59" t="n"/>
      <c r="F359" s="55">
        <f>IF(OR(D359="",E359=""),"",D359*E359)</f>
        <v/>
      </c>
      <c r="G359" s="48">
        <f>IF(OR(B359="",C359=""),"",IFERROR(IF(MAXIFS($C$4:C358,$B$4:B358,B359)=0,"",C359-MAXIFS($C$4:C358,$B$4:B358,B359)),""))</f>
        <v/>
      </c>
      <c r="H359" s="56">
        <f>IF(OR(G359="",G359=0,D359=""),"",D359/G359*100)</f>
        <v/>
      </c>
      <c r="I359" s="57">
        <f>IF(OR(G359="",G359=0,F359=""),"",F359/G359)</f>
        <v/>
      </c>
      <c r="J359" s="40" t="n"/>
      <c r="K359" s="40" t="n"/>
      <c r="L359" s="40" t="n"/>
    </row>
    <row r="360">
      <c r="A360" s="35" t="n"/>
      <c r="B360" s="34" t="n"/>
      <c r="C360" s="39" t="n"/>
      <c r="D360" s="53" t="n"/>
      <c r="E360" s="54" t="n"/>
      <c r="F360" s="55">
        <f>IF(OR(D360="",E360=""),"",D360*E360)</f>
        <v/>
      </c>
      <c r="G360" s="48">
        <f>IF(OR(B360="",C360=""),"",IFERROR(IF(MAXIFS($C$4:C359,$B$4:B359,B360)=0,"",C360-MAXIFS($C$4:C359,$B$4:B359,B360)),""))</f>
        <v/>
      </c>
      <c r="H360" s="56">
        <f>IF(OR(G360="",G360=0,D360=""),"",D360/G360*100)</f>
        <v/>
      </c>
      <c r="I360" s="57">
        <f>IF(OR(G360="",G360=0,F360=""),"",F360/G360)</f>
        <v/>
      </c>
      <c r="J360" s="38" t="n"/>
      <c r="K360" s="38" t="n"/>
      <c r="L360" s="38" t="n"/>
    </row>
    <row r="361">
      <c r="A361" s="33" t="n"/>
      <c r="B361" s="32" t="n"/>
      <c r="C361" s="41" t="n"/>
      <c r="D361" s="58" t="n"/>
      <c r="E361" s="59" t="n"/>
      <c r="F361" s="55">
        <f>IF(OR(D361="",E361=""),"",D361*E361)</f>
        <v/>
      </c>
      <c r="G361" s="48">
        <f>IF(OR(B361="",C361=""),"",IFERROR(IF(MAXIFS($C$4:C360,$B$4:B360,B361)=0,"",C361-MAXIFS($C$4:C360,$B$4:B360,B361)),""))</f>
        <v/>
      </c>
      <c r="H361" s="56">
        <f>IF(OR(G361="",G361=0,D361=""),"",D361/G361*100)</f>
        <v/>
      </c>
      <c r="I361" s="57">
        <f>IF(OR(G361="",G361=0,F361=""),"",F361/G361)</f>
        <v/>
      </c>
      <c r="J361" s="40" t="n"/>
      <c r="K361" s="40" t="n"/>
      <c r="L361" s="40" t="n"/>
    </row>
    <row r="362">
      <c r="A362" s="35" t="n"/>
      <c r="B362" s="34" t="n"/>
      <c r="C362" s="39" t="n"/>
      <c r="D362" s="53" t="n"/>
      <c r="E362" s="54" t="n"/>
      <c r="F362" s="55">
        <f>IF(OR(D362="",E362=""),"",D362*E362)</f>
        <v/>
      </c>
      <c r="G362" s="48">
        <f>IF(OR(B362="",C362=""),"",IFERROR(IF(MAXIFS($C$4:C361,$B$4:B361,B362)=0,"",C362-MAXIFS($C$4:C361,$B$4:B361,B362)),""))</f>
        <v/>
      </c>
      <c r="H362" s="56">
        <f>IF(OR(G362="",G362=0,D362=""),"",D362/G362*100)</f>
        <v/>
      </c>
      <c r="I362" s="57">
        <f>IF(OR(G362="",G362=0,F362=""),"",F362/G362)</f>
        <v/>
      </c>
      <c r="J362" s="38" t="n"/>
      <c r="K362" s="38" t="n"/>
      <c r="L362" s="38" t="n"/>
    </row>
    <row r="363">
      <c r="A363" s="33" t="n"/>
      <c r="B363" s="32" t="n"/>
      <c r="C363" s="41" t="n"/>
      <c r="D363" s="58" t="n"/>
      <c r="E363" s="59" t="n"/>
      <c r="F363" s="55">
        <f>IF(OR(D363="",E363=""),"",D363*E363)</f>
        <v/>
      </c>
      <c r="G363" s="48">
        <f>IF(OR(B363="",C363=""),"",IFERROR(IF(MAXIFS($C$4:C362,$B$4:B362,B363)=0,"",C363-MAXIFS($C$4:C362,$B$4:B362,B363)),""))</f>
        <v/>
      </c>
      <c r="H363" s="56">
        <f>IF(OR(G363="",G363=0,D363=""),"",D363/G363*100)</f>
        <v/>
      </c>
      <c r="I363" s="57">
        <f>IF(OR(G363="",G363=0,F363=""),"",F363/G363)</f>
        <v/>
      </c>
      <c r="J363" s="40" t="n"/>
      <c r="K363" s="40" t="n"/>
      <c r="L363" s="40" t="n"/>
    </row>
    <row r="364">
      <c r="A364" s="35" t="n"/>
      <c r="B364" s="34" t="n"/>
      <c r="C364" s="39" t="n"/>
      <c r="D364" s="53" t="n"/>
      <c r="E364" s="54" t="n"/>
      <c r="F364" s="55">
        <f>IF(OR(D364="",E364=""),"",D364*E364)</f>
        <v/>
      </c>
      <c r="G364" s="48">
        <f>IF(OR(B364="",C364=""),"",IFERROR(IF(MAXIFS($C$4:C363,$B$4:B363,B364)=0,"",C364-MAXIFS($C$4:C363,$B$4:B363,B364)),""))</f>
        <v/>
      </c>
      <c r="H364" s="56">
        <f>IF(OR(G364="",G364=0,D364=""),"",D364/G364*100)</f>
        <v/>
      </c>
      <c r="I364" s="57">
        <f>IF(OR(G364="",G364=0,F364=""),"",F364/G364)</f>
        <v/>
      </c>
      <c r="J364" s="38" t="n"/>
      <c r="K364" s="38" t="n"/>
      <c r="L364" s="38" t="n"/>
    </row>
    <row r="365">
      <c r="A365" s="33" t="n"/>
      <c r="B365" s="32" t="n"/>
      <c r="C365" s="41" t="n"/>
      <c r="D365" s="58" t="n"/>
      <c r="E365" s="59" t="n"/>
      <c r="F365" s="55">
        <f>IF(OR(D365="",E365=""),"",D365*E365)</f>
        <v/>
      </c>
      <c r="G365" s="48">
        <f>IF(OR(B365="",C365=""),"",IFERROR(IF(MAXIFS($C$4:C364,$B$4:B364,B365)=0,"",C365-MAXIFS($C$4:C364,$B$4:B364,B365)),""))</f>
        <v/>
      </c>
      <c r="H365" s="56">
        <f>IF(OR(G365="",G365=0,D365=""),"",D365/G365*100)</f>
        <v/>
      </c>
      <c r="I365" s="57">
        <f>IF(OR(G365="",G365=0,F365=""),"",F365/G365)</f>
        <v/>
      </c>
      <c r="J365" s="40" t="n"/>
      <c r="K365" s="40" t="n"/>
      <c r="L365" s="40" t="n"/>
    </row>
    <row r="366">
      <c r="A366" s="35" t="n"/>
      <c r="B366" s="34" t="n"/>
      <c r="C366" s="39" t="n"/>
      <c r="D366" s="53" t="n"/>
      <c r="E366" s="54" t="n"/>
      <c r="F366" s="55">
        <f>IF(OR(D366="",E366=""),"",D366*E366)</f>
        <v/>
      </c>
      <c r="G366" s="48">
        <f>IF(OR(B366="",C366=""),"",IFERROR(IF(MAXIFS($C$4:C365,$B$4:B365,B366)=0,"",C366-MAXIFS($C$4:C365,$B$4:B365,B366)),""))</f>
        <v/>
      </c>
      <c r="H366" s="56">
        <f>IF(OR(G366="",G366=0,D366=""),"",D366/G366*100)</f>
        <v/>
      </c>
      <c r="I366" s="57">
        <f>IF(OR(G366="",G366=0,F366=""),"",F366/G366)</f>
        <v/>
      </c>
      <c r="J366" s="38" t="n"/>
      <c r="K366" s="38" t="n"/>
      <c r="L366" s="38" t="n"/>
    </row>
    <row r="367">
      <c r="A367" s="33" t="n"/>
      <c r="B367" s="32" t="n"/>
      <c r="C367" s="41" t="n"/>
      <c r="D367" s="58" t="n"/>
      <c r="E367" s="59" t="n"/>
      <c r="F367" s="55">
        <f>IF(OR(D367="",E367=""),"",D367*E367)</f>
        <v/>
      </c>
      <c r="G367" s="48">
        <f>IF(OR(B367="",C367=""),"",IFERROR(IF(MAXIFS($C$4:C366,$B$4:B366,B367)=0,"",C367-MAXIFS($C$4:C366,$B$4:B366,B367)),""))</f>
        <v/>
      </c>
      <c r="H367" s="56">
        <f>IF(OR(G367="",G367=0,D367=""),"",D367/G367*100)</f>
        <v/>
      </c>
      <c r="I367" s="57">
        <f>IF(OR(G367="",G367=0,F367=""),"",F367/G367)</f>
        <v/>
      </c>
      <c r="J367" s="40" t="n"/>
      <c r="K367" s="40" t="n"/>
      <c r="L367" s="40" t="n"/>
    </row>
    <row r="368">
      <c r="A368" s="35" t="n"/>
      <c r="B368" s="34" t="n"/>
      <c r="C368" s="39" t="n"/>
      <c r="D368" s="53" t="n"/>
      <c r="E368" s="54" t="n"/>
      <c r="F368" s="55">
        <f>IF(OR(D368="",E368=""),"",D368*E368)</f>
        <v/>
      </c>
      <c r="G368" s="48">
        <f>IF(OR(B368="",C368=""),"",IFERROR(IF(MAXIFS($C$4:C367,$B$4:B367,B368)=0,"",C368-MAXIFS($C$4:C367,$B$4:B367,B368)),""))</f>
        <v/>
      </c>
      <c r="H368" s="56">
        <f>IF(OR(G368="",G368=0,D368=""),"",D368/G368*100)</f>
        <v/>
      </c>
      <c r="I368" s="57">
        <f>IF(OR(G368="",G368=0,F368=""),"",F368/G368)</f>
        <v/>
      </c>
      <c r="J368" s="38" t="n"/>
      <c r="K368" s="38" t="n"/>
      <c r="L368" s="38" t="n"/>
    </row>
    <row r="369">
      <c r="A369" s="33" t="n"/>
      <c r="B369" s="32" t="n"/>
      <c r="C369" s="41" t="n"/>
      <c r="D369" s="58" t="n"/>
      <c r="E369" s="59" t="n"/>
      <c r="F369" s="55">
        <f>IF(OR(D369="",E369=""),"",D369*E369)</f>
        <v/>
      </c>
      <c r="G369" s="48">
        <f>IF(OR(B369="",C369=""),"",IFERROR(IF(MAXIFS($C$4:C368,$B$4:B368,B369)=0,"",C369-MAXIFS($C$4:C368,$B$4:B368,B369)),""))</f>
        <v/>
      </c>
      <c r="H369" s="56">
        <f>IF(OR(G369="",G369=0,D369=""),"",D369/G369*100)</f>
        <v/>
      </c>
      <c r="I369" s="57">
        <f>IF(OR(G369="",G369=0,F369=""),"",F369/G369)</f>
        <v/>
      </c>
      <c r="J369" s="40" t="n"/>
      <c r="K369" s="40" t="n"/>
      <c r="L369" s="40" t="n"/>
    </row>
    <row r="370">
      <c r="A370" s="35" t="n"/>
      <c r="B370" s="34" t="n"/>
      <c r="C370" s="39" t="n"/>
      <c r="D370" s="53" t="n"/>
      <c r="E370" s="54" t="n"/>
      <c r="F370" s="55">
        <f>IF(OR(D370="",E370=""),"",D370*E370)</f>
        <v/>
      </c>
      <c r="G370" s="48">
        <f>IF(OR(B370="",C370=""),"",IFERROR(IF(MAXIFS($C$4:C369,$B$4:B369,B370)=0,"",C370-MAXIFS($C$4:C369,$B$4:B369,B370)),""))</f>
        <v/>
      </c>
      <c r="H370" s="56">
        <f>IF(OR(G370="",G370=0,D370=""),"",D370/G370*100)</f>
        <v/>
      </c>
      <c r="I370" s="57">
        <f>IF(OR(G370="",G370=0,F370=""),"",F370/G370)</f>
        <v/>
      </c>
      <c r="J370" s="38" t="n"/>
      <c r="K370" s="38" t="n"/>
      <c r="L370" s="38" t="n"/>
    </row>
    <row r="371">
      <c r="A371" s="33" t="n"/>
      <c r="B371" s="32" t="n"/>
      <c r="C371" s="41" t="n"/>
      <c r="D371" s="58" t="n"/>
      <c r="E371" s="59" t="n"/>
      <c r="F371" s="55">
        <f>IF(OR(D371="",E371=""),"",D371*E371)</f>
        <v/>
      </c>
      <c r="G371" s="48">
        <f>IF(OR(B371="",C371=""),"",IFERROR(IF(MAXIFS($C$4:C370,$B$4:B370,B371)=0,"",C371-MAXIFS($C$4:C370,$B$4:B370,B371)),""))</f>
        <v/>
      </c>
      <c r="H371" s="56">
        <f>IF(OR(G371="",G371=0,D371=""),"",D371/G371*100)</f>
        <v/>
      </c>
      <c r="I371" s="57">
        <f>IF(OR(G371="",G371=0,F371=""),"",F371/G371)</f>
        <v/>
      </c>
      <c r="J371" s="40" t="n"/>
      <c r="K371" s="40" t="n"/>
      <c r="L371" s="40" t="n"/>
    </row>
    <row r="372">
      <c r="A372" s="35" t="n"/>
      <c r="B372" s="34" t="n"/>
      <c r="C372" s="39" t="n"/>
      <c r="D372" s="53" t="n"/>
      <c r="E372" s="54" t="n"/>
      <c r="F372" s="55">
        <f>IF(OR(D372="",E372=""),"",D372*E372)</f>
        <v/>
      </c>
      <c r="G372" s="48">
        <f>IF(OR(B372="",C372=""),"",IFERROR(IF(MAXIFS($C$4:C371,$B$4:B371,B372)=0,"",C372-MAXIFS($C$4:C371,$B$4:B371,B372)),""))</f>
        <v/>
      </c>
      <c r="H372" s="56">
        <f>IF(OR(G372="",G372=0,D372=""),"",D372/G372*100)</f>
        <v/>
      </c>
      <c r="I372" s="57">
        <f>IF(OR(G372="",G372=0,F372=""),"",F372/G372)</f>
        <v/>
      </c>
      <c r="J372" s="38" t="n"/>
      <c r="K372" s="38" t="n"/>
      <c r="L372" s="38" t="n"/>
    </row>
    <row r="373">
      <c r="A373" s="33" t="n"/>
      <c r="B373" s="32" t="n"/>
      <c r="C373" s="41" t="n"/>
      <c r="D373" s="58" t="n"/>
      <c r="E373" s="59" t="n"/>
      <c r="F373" s="55">
        <f>IF(OR(D373="",E373=""),"",D373*E373)</f>
        <v/>
      </c>
      <c r="G373" s="48">
        <f>IF(OR(B373="",C373=""),"",IFERROR(IF(MAXIFS($C$4:C372,$B$4:B372,B373)=0,"",C373-MAXIFS($C$4:C372,$B$4:B372,B373)),""))</f>
        <v/>
      </c>
      <c r="H373" s="56">
        <f>IF(OR(G373="",G373=0,D373=""),"",D373/G373*100)</f>
        <v/>
      </c>
      <c r="I373" s="57">
        <f>IF(OR(G373="",G373=0,F373=""),"",F373/G373)</f>
        <v/>
      </c>
      <c r="J373" s="40" t="n"/>
      <c r="K373" s="40" t="n"/>
      <c r="L373" s="40" t="n"/>
    </row>
    <row r="374">
      <c r="A374" s="35" t="n"/>
      <c r="B374" s="34" t="n"/>
      <c r="C374" s="39" t="n"/>
      <c r="D374" s="53" t="n"/>
      <c r="E374" s="54" t="n"/>
      <c r="F374" s="55">
        <f>IF(OR(D374="",E374=""),"",D374*E374)</f>
        <v/>
      </c>
      <c r="G374" s="48">
        <f>IF(OR(B374="",C374=""),"",IFERROR(IF(MAXIFS($C$4:C373,$B$4:B373,B374)=0,"",C374-MAXIFS($C$4:C373,$B$4:B373,B374)),""))</f>
        <v/>
      </c>
      <c r="H374" s="56">
        <f>IF(OR(G374="",G374=0,D374=""),"",D374/G374*100)</f>
        <v/>
      </c>
      <c r="I374" s="57">
        <f>IF(OR(G374="",G374=0,F374=""),"",F374/G374)</f>
        <v/>
      </c>
      <c r="J374" s="38" t="n"/>
      <c r="K374" s="38" t="n"/>
      <c r="L374" s="38" t="n"/>
    </row>
    <row r="375">
      <c r="A375" s="33" t="n"/>
      <c r="B375" s="32" t="n"/>
      <c r="C375" s="41" t="n"/>
      <c r="D375" s="58" t="n"/>
      <c r="E375" s="59" t="n"/>
      <c r="F375" s="55">
        <f>IF(OR(D375="",E375=""),"",D375*E375)</f>
        <v/>
      </c>
      <c r="G375" s="48">
        <f>IF(OR(B375="",C375=""),"",IFERROR(IF(MAXIFS($C$4:C374,$B$4:B374,B375)=0,"",C375-MAXIFS($C$4:C374,$B$4:B374,B375)),""))</f>
        <v/>
      </c>
      <c r="H375" s="56">
        <f>IF(OR(G375="",G375=0,D375=""),"",D375/G375*100)</f>
        <v/>
      </c>
      <c r="I375" s="57">
        <f>IF(OR(G375="",G375=0,F375=""),"",F375/G375)</f>
        <v/>
      </c>
      <c r="J375" s="40" t="n"/>
      <c r="K375" s="40" t="n"/>
      <c r="L375" s="40" t="n"/>
    </row>
    <row r="376">
      <c r="A376" s="35" t="n"/>
      <c r="B376" s="34" t="n"/>
      <c r="C376" s="39" t="n"/>
      <c r="D376" s="53" t="n"/>
      <c r="E376" s="54" t="n"/>
      <c r="F376" s="55">
        <f>IF(OR(D376="",E376=""),"",D376*E376)</f>
        <v/>
      </c>
      <c r="G376" s="48">
        <f>IF(OR(B376="",C376=""),"",IFERROR(IF(MAXIFS($C$4:C375,$B$4:B375,B376)=0,"",C376-MAXIFS($C$4:C375,$B$4:B375,B376)),""))</f>
        <v/>
      </c>
      <c r="H376" s="56">
        <f>IF(OR(G376="",G376=0,D376=""),"",D376/G376*100)</f>
        <v/>
      </c>
      <c r="I376" s="57">
        <f>IF(OR(G376="",G376=0,F376=""),"",F376/G376)</f>
        <v/>
      </c>
      <c r="J376" s="38" t="n"/>
      <c r="K376" s="38" t="n"/>
      <c r="L376" s="38" t="n"/>
    </row>
    <row r="377">
      <c r="A377" s="33" t="n"/>
      <c r="B377" s="32" t="n"/>
      <c r="C377" s="41" t="n"/>
      <c r="D377" s="58" t="n"/>
      <c r="E377" s="59" t="n"/>
      <c r="F377" s="55">
        <f>IF(OR(D377="",E377=""),"",D377*E377)</f>
        <v/>
      </c>
      <c r="G377" s="48">
        <f>IF(OR(B377="",C377=""),"",IFERROR(IF(MAXIFS($C$4:C376,$B$4:B376,B377)=0,"",C377-MAXIFS($C$4:C376,$B$4:B376,B377)),""))</f>
        <v/>
      </c>
      <c r="H377" s="56">
        <f>IF(OR(G377="",G377=0,D377=""),"",D377/G377*100)</f>
        <v/>
      </c>
      <c r="I377" s="57">
        <f>IF(OR(G377="",G377=0,F377=""),"",F377/G377)</f>
        <v/>
      </c>
      <c r="J377" s="40" t="n"/>
      <c r="K377" s="40" t="n"/>
      <c r="L377" s="40" t="n"/>
    </row>
    <row r="378">
      <c r="A378" s="35" t="n"/>
      <c r="B378" s="34" t="n"/>
      <c r="C378" s="39" t="n"/>
      <c r="D378" s="53" t="n"/>
      <c r="E378" s="54" t="n"/>
      <c r="F378" s="55">
        <f>IF(OR(D378="",E378=""),"",D378*E378)</f>
        <v/>
      </c>
      <c r="G378" s="48">
        <f>IF(OR(B378="",C378=""),"",IFERROR(IF(MAXIFS($C$4:C377,$B$4:B377,B378)=0,"",C378-MAXIFS($C$4:C377,$B$4:B377,B378)),""))</f>
        <v/>
      </c>
      <c r="H378" s="56">
        <f>IF(OR(G378="",G378=0,D378=""),"",D378/G378*100)</f>
        <v/>
      </c>
      <c r="I378" s="57">
        <f>IF(OR(G378="",G378=0,F378=""),"",F378/G378)</f>
        <v/>
      </c>
      <c r="J378" s="38" t="n"/>
      <c r="K378" s="38" t="n"/>
      <c r="L378" s="38" t="n"/>
    </row>
    <row r="379">
      <c r="A379" s="33" t="n"/>
      <c r="B379" s="32" t="n"/>
      <c r="C379" s="41" t="n"/>
      <c r="D379" s="58" t="n"/>
      <c r="E379" s="59" t="n"/>
      <c r="F379" s="55">
        <f>IF(OR(D379="",E379=""),"",D379*E379)</f>
        <v/>
      </c>
      <c r="G379" s="48">
        <f>IF(OR(B379="",C379=""),"",IFERROR(IF(MAXIFS($C$4:C378,$B$4:B378,B379)=0,"",C379-MAXIFS($C$4:C378,$B$4:B378,B379)),""))</f>
        <v/>
      </c>
      <c r="H379" s="56">
        <f>IF(OR(G379="",G379=0,D379=""),"",D379/G379*100)</f>
        <v/>
      </c>
      <c r="I379" s="57">
        <f>IF(OR(G379="",G379=0,F379=""),"",F379/G379)</f>
        <v/>
      </c>
      <c r="J379" s="40" t="n"/>
      <c r="K379" s="40" t="n"/>
      <c r="L379" s="40" t="n"/>
    </row>
    <row r="380">
      <c r="A380" s="35" t="n"/>
      <c r="B380" s="34" t="n"/>
      <c r="C380" s="39" t="n"/>
      <c r="D380" s="53" t="n"/>
      <c r="E380" s="54" t="n"/>
      <c r="F380" s="55">
        <f>IF(OR(D380="",E380=""),"",D380*E380)</f>
        <v/>
      </c>
      <c r="G380" s="48">
        <f>IF(OR(B380="",C380=""),"",IFERROR(IF(MAXIFS($C$4:C379,$B$4:B379,B380)=0,"",C380-MAXIFS($C$4:C379,$B$4:B379,B380)),""))</f>
        <v/>
      </c>
      <c r="H380" s="56">
        <f>IF(OR(G380="",G380=0,D380=""),"",D380/G380*100)</f>
        <v/>
      </c>
      <c r="I380" s="57">
        <f>IF(OR(G380="",G380=0,F380=""),"",F380/G380)</f>
        <v/>
      </c>
      <c r="J380" s="38" t="n"/>
      <c r="K380" s="38" t="n"/>
      <c r="L380" s="38" t="n"/>
    </row>
    <row r="381">
      <c r="A381" s="33" t="n"/>
      <c r="B381" s="32" t="n"/>
      <c r="C381" s="41" t="n"/>
      <c r="D381" s="58" t="n"/>
      <c r="E381" s="59" t="n"/>
      <c r="F381" s="55">
        <f>IF(OR(D381="",E381=""),"",D381*E381)</f>
        <v/>
      </c>
      <c r="G381" s="48">
        <f>IF(OR(B381="",C381=""),"",IFERROR(IF(MAXIFS($C$4:C380,$B$4:B380,B381)=0,"",C381-MAXIFS($C$4:C380,$B$4:B380,B381)),""))</f>
        <v/>
      </c>
      <c r="H381" s="56">
        <f>IF(OR(G381="",G381=0,D381=""),"",D381/G381*100)</f>
        <v/>
      </c>
      <c r="I381" s="57">
        <f>IF(OR(G381="",G381=0,F381=""),"",F381/G381)</f>
        <v/>
      </c>
      <c r="J381" s="40" t="n"/>
      <c r="K381" s="40" t="n"/>
      <c r="L381" s="40" t="n"/>
    </row>
    <row r="382">
      <c r="A382" s="35" t="n"/>
      <c r="B382" s="34" t="n"/>
      <c r="C382" s="39" t="n"/>
      <c r="D382" s="53" t="n"/>
      <c r="E382" s="54" t="n"/>
      <c r="F382" s="55">
        <f>IF(OR(D382="",E382=""),"",D382*E382)</f>
        <v/>
      </c>
      <c r="G382" s="48">
        <f>IF(OR(B382="",C382=""),"",IFERROR(IF(MAXIFS($C$4:C381,$B$4:B381,B382)=0,"",C382-MAXIFS($C$4:C381,$B$4:B381,B382)),""))</f>
        <v/>
      </c>
      <c r="H382" s="56">
        <f>IF(OR(G382="",G382=0,D382=""),"",D382/G382*100)</f>
        <v/>
      </c>
      <c r="I382" s="57">
        <f>IF(OR(G382="",G382=0,F382=""),"",F382/G382)</f>
        <v/>
      </c>
      <c r="J382" s="38" t="n"/>
      <c r="K382" s="38" t="n"/>
      <c r="L382" s="38" t="n"/>
    </row>
    <row r="383">
      <c r="A383" s="33" t="n"/>
      <c r="B383" s="32" t="n"/>
      <c r="C383" s="41" t="n"/>
      <c r="D383" s="58" t="n"/>
      <c r="E383" s="59" t="n"/>
      <c r="F383" s="55">
        <f>IF(OR(D383="",E383=""),"",D383*E383)</f>
        <v/>
      </c>
      <c r="G383" s="48">
        <f>IF(OR(B383="",C383=""),"",IFERROR(IF(MAXIFS($C$4:C382,$B$4:B382,B383)=0,"",C383-MAXIFS($C$4:C382,$B$4:B382,B383)),""))</f>
        <v/>
      </c>
      <c r="H383" s="56">
        <f>IF(OR(G383="",G383=0,D383=""),"",D383/G383*100)</f>
        <v/>
      </c>
      <c r="I383" s="57">
        <f>IF(OR(G383="",G383=0,F383=""),"",F383/G383)</f>
        <v/>
      </c>
      <c r="J383" s="40" t="n"/>
      <c r="K383" s="40" t="n"/>
      <c r="L383" s="40" t="n"/>
    </row>
    <row r="384">
      <c r="A384" s="35" t="n"/>
      <c r="B384" s="34" t="n"/>
      <c r="C384" s="39" t="n"/>
      <c r="D384" s="53" t="n"/>
      <c r="E384" s="54" t="n"/>
      <c r="F384" s="55">
        <f>IF(OR(D384="",E384=""),"",D384*E384)</f>
        <v/>
      </c>
      <c r="G384" s="48">
        <f>IF(OR(B384="",C384=""),"",IFERROR(IF(MAXIFS($C$4:C383,$B$4:B383,B384)=0,"",C384-MAXIFS($C$4:C383,$B$4:B383,B384)),""))</f>
        <v/>
      </c>
      <c r="H384" s="56">
        <f>IF(OR(G384="",G384=0,D384=""),"",D384/G384*100)</f>
        <v/>
      </c>
      <c r="I384" s="57">
        <f>IF(OR(G384="",G384=0,F384=""),"",F384/G384)</f>
        <v/>
      </c>
      <c r="J384" s="38" t="n"/>
      <c r="K384" s="38" t="n"/>
      <c r="L384" s="38" t="n"/>
    </row>
    <row r="385">
      <c r="A385" s="33" t="n"/>
      <c r="B385" s="32" t="n"/>
      <c r="C385" s="41" t="n"/>
      <c r="D385" s="58" t="n"/>
      <c r="E385" s="59" t="n"/>
      <c r="F385" s="55">
        <f>IF(OR(D385="",E385=""),"",D385*E385)</f>
        <v/>
      </c>
      <c r="G385" s="48">
        <f>IF(OR(B385="",C385=""),"",IFERROR(IF(MAXIFS($C$4:C384,$B$4:B384,B385)=0,"",C385-MAXIFS($C$4:C384,$B$4:B384,B385)),""))</f>
        <v/>
      </c>
      <c r="H385" s="56">
        <f>IF(OR(G385="",G385=0,D385=""),"",D385/G385*100)</f>
        <v/>
      </c>
      <c r="I385" s="57">
        <f>IF(OR(G385="",G385=0,F385=""),"",F385/G385)</f>
        <v/>
      </c>
      <c r="J385" s="40" t="n"/>
      <c r="K385" s="40" t="n"/>
      <c r="L385" s="40" t="n"/>
    </row>
    <row r="386">
      <c r="A386" s="35" t="n"/>
      <c r="B386" s="34" t="n"/>
      <c r="C386" s="39" t="n"/>
      <c r="D386" s="53" t="n"/>
      <c r="E386" s="54" t="n"/>
      <c r="F386" s="55">
        <f>IF(OR(D386="",E386=""),"",D386*E386)</f>
        <v/>
      </c>
      <c r="G386" s="48">
        <f>IF(OR(B386="",C386=""),"",IFERROR(IF(MAXIFS($C$4:C385,$B$4:B385,B386)=0,"",C386-MAXIFS($C$4:C385,$B$4:B385,B386)),""))</f>
        <v/>
      </c>
      <c r="H386" s="56">
        <f>IF(OR(G386="",G386=0,D386=""),"",D386/G386*100)</f>
        <v/>
      </c>
      <c r="I386" s="57">
        <f>IF(OR(G386="",G386=0,F386=""),"",F386/G386)</f>
        <v/>
      </c>
      <c r="J386" s="38" t="n"/>
      <c r="K386" s="38" t="n"/>
      <c r="L386" s="38" t="n"/>
    </row>
    <row r="387">
      <c r="A387" s="33" t="n"/>
      <c r="B387" s="32" t="n"/>
      <c r="C387" s="41" t="n"/>
      <c r="D387" s="58" t="n"/>
      <c r="E387" s="59" t="n"/>
      <c r="F387" s="55">
        <f>IF(OR(D387="",E387=""),"",D387*E387)</f>
        <v/>
      </c>
      <c r="G387" s="48">
        <f>IF(OR(B387="",C387=""),"",IFERROR(IF(MAXIFS($C$4:C386,$B$4:B386,B387)=0,"",C387-MAXIFS($C$4:C386,$B$4:B386,B387)),""))</f>
        <v/>
      </c>
      <c r="H387" s="56">
        <f>IF(OR(G387="",G387=0,D387=""),"",D387/G387*100)</f>
        <v/>
      </c>
      <c r="I387" s="57">
        <f>IF(OR(G387="",G387=0,F387=""),"",F387/G387)</f>
        <v/>
      </c>
      <c r="J387" s="40" t="n"/>
      <c r="K387" s="40" t="n"/>
      <c r="L387" s="40" t="n"/>
    </row>
    <row r="388">
      <c r="A388" s="35" t="n"/>
      <c r="B388" s="34" t="n"/>
      <c r="C388" s="39" t="n"/>
      <c r="D388" s="53" t="n"/>
      <c r="E388" s="54" t="n"/>
      <c r="F388" s="55">
        <f>IF(OR(D388="",E388=""),"",D388*E388)</f>
        <v/>
      </c>
      <c r="G388" s="48">
        <f>IF(OR(B388="",C388=""),"",IFERROR(IF(MAXIFS($C$4:C387,$B$4:B387,B388)=0,"",C388-MAXIFS($C$4:C387,$B$4:B387,B388)),""))</f>
        <v/>
      </c>
      <c r="H388" s="56">
        <f>IF(OR(G388="",G388=0,D388=""),"",D388/G388*100)</f>
        <v/>
      </c>
      <c r="I388" s="57">
        <f>IF(OR(G388="",G388=0,F388=""),"",F388/G388)</f>
        <v/>
      </c>
      <c r="J388" s="38" t="n"/>
      <c r="K388" s="38" t="n"/>
      <c r="L388" s="38" t="n"/>
    </row>
    <row r="389">
      <c r="A389" s="33" t="n"/>
      <c r="B389" s="32" t="n"/>
      <c r="C389" s="41" t="n"/>
      <c r="D389" s="58" t="n"/>
      <c r="E389" s="59" t="n"/>
      <c r="F389" s="55">
        <f>IF(OR(D389="",E389=""),"",D389*E389)</f>
        <v/>
      </c>
      <c r="G389" s="48">
        <f>IF(OR(B389="",C389=""),"",IFERROR(IF(MAXIFS($C$4:C388,$B$4:B388,B389)=0,"",C389-MAXIFS($C$4:C388,$B$4:B388,B389)),""))</f>
        <v/>
      </c>
      <c r="H389" s="56">
        <f>IF(OR(G389="",G389=0,D389=""),"",D389/G389*100)</f>
        <v/>
      </c>
      <c r="I389" s="57">
        <f>IF(OR(G389="",G389=0,F389=""),"",F389/G389)</f>
        <v/>
      </c>
      <c r="J389" s="40" t="n"/>
      <c r="K389" s="40" t="n"/>
      <c r="L389" s="40" t="n"/>
    </row>
    <row r="390">
      <c r="A390" s="35" t="n"/>
      <c r="B390" s="34" t="n"/>
      <c r="C390" s="39" t="n"/>
      <c r="D390" s="53" t="n"/>
      <c r="E390" s="54" t="n"/>
      <c r="F390" s="55">
        <f>IF(OR(D390="",E390=""),"",D390*E390)</f>
        <v/>
      </c>
      <c r="G390" s="48">
        <f>IF(OR(B390="",C390=""),"",IFERROR(IF(MAXIFS($C$4:C389,$B$4:B389,B390)=0,"",C390-MAXIFS($C$4:C389,$B$4:B389,B390)),""))</f>
        <v/>
      </c>
      <c r="H390" s="56">
        <f>IF(OR(G390="",G390=0,D390=""),"",D390/G390*100)</f>
        <v/>
      </c>
      <c r="I390" s="57">
        <f>IF(OR(G390="",G390=0,F390=""),"",F390/G390)</f>
        <v/>
      </c>
      <c r="J390" s="38" t="n"/>
      <c r="K390" s="38" t="n"/>
      <c r="L390" s="38" t="n"/>
    </row>
    <row r="391">
      <c r="A391" s="33" t="n"/>
      <c r="B391" s="32" t="n"/>
      <c r="C391" s="41" t="n"/>
      <c r="D391" s="58" t="n"/>
      <c r="E391" s="59" t="n"/>
      <c r="F391" s="55">
        <f>IF(OR(D391="",E391=""),"",D391*E391)</f>
        <v/>
      </c>
      <c r="G391" s="48">
        <f>IF(OR(B391="",C391=""),"",IFERROR(IF(MAXIFS($C$4:C390,$B$4:B390,B391)=0,"",C391-MAXIFS($C$4:C390,$B$4:B390,B391)),""))</f>
        <v/>
      </c>
      <c r="H391" s="56">
        <f>IF(OR(G391="",G391=0,D391=""),"",D391/G391*100)</f>
        <v/>
      </c>
      <c r="I391" s="57">
        <f>IF(OR(G391="",G391=0,F391=""),"",F391/G391)</f>
        <v/>
      </c>
      <c r="J391" s="40" t="n"/>
      <c r="K391" s="40" t="n"/>
      <c r="L391" s="40" t="n"/>
    </row>
    <row r="392">
      <c r="A392" s="35" t="n"/>
      <c r="B392" s="34" t="n"/>
      <c r="C392" s="39" t="n"/>
      <c r="D392" s="53" t="n"/>
      <c r="E392" s="54" t="n"/>
      <c r="F392" s="55">
        <f>IF(OR(D392="",E392=""),"",D392*E392)</f>
        <v/>
      </c>
      <c r="G392" s="48">
        <f>IF(OR(B392="",C392=""),"",IFERROR(IF(MAXIFS($C$4:C391,$B$4:B391,B392)=0,"",C392-MAXIFS($C$4:C391,$B$4:B391,B392)),""))</f>
        <v/>
      </c>
      <c r="H392" s="56">
        <f>IF(OR(G392="",G392=0,D392=""),"",D392/G392*100)</f>
        <v/>
      </c>
      <c r="I392" s="57">
        <f>IF(OR(G392="",G392=0,F392=""),"",F392/G392)</f>
        <v/>
      </c>
      <c r="J392" s="38" t="n"/>
      <c r="K392" s="38" t="n"/>
      <c r="L392" s="38" t="n"/>
    </row>
    <row r="393">
      <c r="A393" s="33" t="n"/>
      <c r="B393" s="32" t="n"/>
      <c r="C393" s="41" t="n"/>
      <c r="D393" s="58" t="n"/>
      <c r="E393" s="59" t="n"/>
      <c r="F393" s="55">
        <f>IF(OR(D393="",E393=""),"",D393*E393)</f>
        <v/>
      </c>
      <c r="G393" s="48">
        <f>IF(OR(B393="",C393=""),"",IFERROR(IF(MAXIFS($C$4:C392,$B$4:B392,B393)=0,"",C393-MAXIFS($C$4:C392,$B$4:B392,B393)),""))</f>
        <v/>
      </c>
      <c r="H393" s="56">
        <f>IF(OR(G393="",G393=0,D393=""),"",D393/G393*100)</f>
        <v/>
      </c>
      <c r="I393" s="57">
        <f>IF(OR(G393="",G393=0,F393=""),"",F393/G393)</f>
        <v/>
      </c>
      <c r="J393" s="40" t="n"/>
      <c r="K393" s="40" t="n"/>
      <c r="L393" s="40" t="n"/>
    </row>
    <row r="394">
      <c r="A394" s="35" t="n"/>
      <c r="B394" s="34" t="n"/>
      <c r="C394" s="39" t="n"/>
      <c r="D394" s="53" t="n"/>
      <c r="E394" s="54" t="n"/>
      <c r="F394" s="55">
        <f>IF(OR(D394="",E394=""),"",D394*E394)</f>
        <v/>
      </c>
      <c r="G394" s="48">
        <f>IF(OR(B394="",C394=""),"",IFERROR(IF(MAXIFS($C$4:C393,$B$4:B393,B394)=0,"",C394-MAXIFS($C$4:C393,$B$4:B393,B394)),""))</f>
        <v/>
      </c>
      <c r="H394" s="56">
        <f>IF(OR(G394="",G394=0,D394=""),"",D394/G394*100)</f>
        <v/>
      </c>
      <c r="I394" s="57">
        <f>IF(OR(G394="",G394=0,F394=""),"",F394/G394)</f>
        <v/>
      </c>
      <c r="J394" s="38" t="n"/>
      <c r="K394" s="38" t="n"/>
      <c r="L394" s="38" t="n"/>
    </row>
    <row r="395">
      <c r="A395" s="33" t="n"/>
      <c r="B395" s="32" t="n"/>
      <c r="C395" s="41" t="n"/>
      <c r="D395" s="58" t="n"/>
      <c r="E395" s="59" t="n"/>
      <c r="F395" s="55">
        <f>IF(OR(D395="",E395=""),"",D395*E395)</f>
        <v/>
      </c>
      <c r="G395" s="48">
        <f>IF(OR(B395="",C395=""),"",IFERROR(IF(MAXIFS($C$4:C394,$B$4:B394,B395)=0,"",C395-MAXIFS($C$4:C394,$B$4:B394,B395)),""))</f>
        <v/>
      </c>
      <c r="H395" s="56">
        <f>IF(OR(G395="",G395=0,D395=""),"",D395/G395*100)</f>
        <v/>
      </c>
      <c r="I395" s="57">
        <f>IF(OR(G395="",G395=0,F395=""),"",F395/G395)</f>
        <v/>
      </c>
      <c r="J395" s="40" t="n"/>
      <c r="K395" s="40" t="n"/>
      <c r="L395" s="40" t="n"/>
    </row>
    <row r="396">
      <c r="A396" s="35" t="n"/>
      <c r="B396" s="34" t="n"/>
      <c r="C396" s="39" t="n"/>
      <c r="D396" s="53" t="n"/>
      <c r="E396" s="54" t="n"/>
      <c r="F396" s="55">
        <f>IF(OR(D396="",E396=""),"",D396*E396)</f>
        <v/>
      </c>
      <c r="G396" s="48">
        <f>IF(OR(B396="",C396=""),"",IFERROR(IF(MAXIFS($C$4:C395,$B$4:B395,B396)=0,"",C396-MAXIFS($C$4:C395,$B$4:B395,B396)),""))</f>
        <v/>
      </c>
      <c r="H396" s="56">
        <f>IF(OR(G396="",G396=0,D396=""),"",D396/G396*100)</f>
        <v/>
      </c>
      <c r="I396" s="57">
        <f>IF(OR(G396="",G396=0,F396=""),"",F396/G396)</f>
        <v/>
      </c>
      <c r="J396" s="38" t="n"/>
      <c r="K396" s="38" t="n"/>
      <c r="L396" s="38" t="n"/>
    </row>
    <row r="397">
      <c r="A397" s="33" t="n"/>
      <c r="B397" s="32" t="n"/>
      <c r="C397" s="41" t="n"/>
      <c r="D397" s="58" t="n"/>
      <c r="E397" s="59" t="n"/>
      <c r="F397" s="55">
        <f>IF(OR(D397="",E397=""),"",D397*E397)</f>
        <v/>
      </c>
      <c r="G397" s="48">
        <f>IF(OR(B397="",C397=""),"",IFERROR(IF(MAXIFS($C$4:C396,$B$4:B396,B397)=0,"",C397-MAXIFS($C$4:C396,$B$4:B396,B397)),""))</f>
        <v/>
      </c>
      <c r="H397" s="56">
        <f>IF(OR(G397="",G397=0,D397=""),"",D397/G397*100)</f>
        <v/>
      </c>
      <c r="I397" s="57">
        <f>IF(OR(G397="",G397=0,F397=""),"",F397/G397)</f>
        <v/>
      </c>
      <c r="J397" s="40" t="n"/>
      <c r="K397" s="40" t="n"/>
      <c r="L397" s="40" t="n"/>
    </row>
    <row r="398">
      <c r="A398" s="35" t="n"/>
      <c r="B398" s="34" t="n"/>
      <c r="C398" s="39" t="n"/>
      <c r="D398" s="53" t="n"/>
      <c r="E398" s="54" t="n"/>
      <c r="F398" s="55">
        <f>IF(OR(D398="",E398=""),"",D398*E398)</f>
        <v/>
      </c>
      <c r="G398" s="48">
        <f>IF(OR(B398="",C398=""),"",IFERROR(IF(MAXIFS($C$4:C397,$B$4:B397,B398)=0,"",C398-MAXIFS($C$4:C397,$B$4:B397,B398)),""))</f>
        <v/>
      </c>
      <c r="H398" s="56">
        <f>IF(OR(G398="",G398=0,D398=""),"",D398/G398*100)</f>
        <v/>
      </c>
      <c r="I398" s="57">
        <f>IF(OR(G398="",G398=0,F398=""),"",F398/G398)</f>
        <v/>
      </c>
      <c r="J398" s="38" t="n"/>
      <c r="K398" s="38" t="n"/>
      <c r="L398" s="38" t="n"/>
    </row>
    <row r="399">
      <c r="A399" s="33" t="n"/>
      <c r="B399" s="32" t="n"/>
      <c r="C399" s="41" t="n"/>
      <c r="D399" s="58" t="n"/>
      <c r="E399" s="59" t="n"/>
      <c r="F399" s="55">
        <f>IF(OR(D399="",E399=""),"",D399*E399)</f>
        <v/>
      </c>
      <c r="G399" s="48">
        <f>IF(OR(B399="",C399=""),"",IFERROR(IF(MAXIFS($C$4:C398,$B$4:B398,B399)=0,"",C399-MAXIFS($C$4:C398,$B$4:B398,B399)),""))</f>
        <v/>
      </c>
      <c r="H399" s="56">
        <f>IF(OR(G399="",G399=0,D399=""),"",D399/G399*100)</f>
        <v/>
      </c>
      <c r="I399" s="57">
        <f>IF(OR(G399="",G399=0,F399=""),"",F399/G399)</f>
        <v/>
      </c>
      <c r="J399" s="40" t="n"/>
      <c r="K399" s="40" t="n"/>
      <c r="L399" s="40" t="n"/>
    </row>
    <row r="400">
      <c r="A400" s="35" t="n"/>
      <c r="B400" s="34" t="n"/>
      <c r="C400" s="39" t="n"/>
      <c r="D400" s="53" t="n"/>
      <c r="E400" s="54" t="n"/>
      <c r="F400" s="55">
        <f>IF(OR(D400="",E400=""),"",D400*E400)</f>
        <v/>
      </c>
      <c r="G400" s="48">
        <f>IF(OR(B400="",C400=""),"",IFERROR(IF(MAXIFS($C$4:C399,$B$4:B399,B400)=0,"",C400-MAXIFS($C$4:C399,$B$4:B399,B400)),""))</f>
        <v/>
      </c>
      <c r="H400" s="56">
        <f>IF(OR(G400="",G400=0,D400=""),"",D400/G400*100)</f>
        <v/>
      </c>
      <c r="I400" s="57">
        <f>IF(OR(G400="",G400=0,F400=""),"",F400/G400)</f>
        <v/>
      </c>
      <c r="J400" s="38" t="n"/>
      <c r="K400" s="38" t="n"/>
      <c r="L400" s="38" t="n"/>
    </row>
    <row r="401">
      <c r="A401" s="33" t="n"/>
      <c r="B401" s="32" t="n"/>
      <c r="C401" s="41" t="n"/>
      <c r="D401" s="58" t="n"/>
      <c r="E401" s="59" t="n"/>
      <c r="F401" s="55">
        <f>IF(OR(D401="",E401=""),"",D401*E401)</f>
        <v/>
      </c>
      <c r="G401" s="48">
        <f>IF(OR(B401="",C401=""),"",IFERROR(IF(MAXIFS($C$4:C400,$B$4:B400,B401)=0,"",C401-MAXIFS($C$4:C400,$B$4:B400,B401)),""))</f>
        <v/>
      </c>
      <c r="H401" s="56">
        <f>IF(OR(G401="",G401=0,D401=""),"",D401/G401*100)</f>
        <v/>
      </c>
      <c r="I401" s="57">
        <f>IF(OR(G401="",G401=0,F401=""),"",F401/G401)</f>
        <v/>
      </c>
      <c r="J401" s="40" t="n"/>
      <c r="K401" s="40" t="n"/>
      <c r="L401" s="40" t="n"/>
    </row>
    <row r="402">
      <c r="A402" s="35" t="n"/>
      <c r="B402" s="34" t="n"/>
      <c r="C402" s="39" t="n"/>
      <c r="D402" s="53" t="n"/>
      <c r="E402" s="54" t="n"/>
      <c r="F402" s="55">
        <f>IF(OR(D402="",E402=""),"",D402*E402)</f>
        <v/>
      </c>
      <c r="G402" s="48">
        <f>IF(OR(B402="",C402=""),"",IFERROR(IF(MAXIFS($C$4:C401,$B$4:B401,B402)=0,"",C402-MAXIFS($C$4:C401,$B$4:B401,B402)),""))</f>
        <v/>
      </c>
      <c r="H402" s="56">
        <f>IF(OR(G402="",G402=0,D402=""),"",D402/G402*100)</f>
        <v/>
      </c>
      <c r="I402" s="57">
        <f>IF(OR(G402="",G402=0,F402=""),"",F402/G402)</f>
        <v/>
      </c>
      <c r="J402" s="38" t="n"/>
      <c r="K402" s="38" t="n"/>
      <c r="L402" s="38" t="n"/>
    </row>
    <row r="403">
      <c r="A403" s="33" t="n"/>
      <c r="B403" s="32" t="n"/>
      <c r="C403" s="41" t="n"/>
      <c r="D403" s="58" t="n"/>
      <c r="E403" s="59" t="n"/>
      <c r="F403" s="55">
        <f>IF(OR(D403="",E403=""),"",D403*E403)</f>
        <v/>
      </c>
      <c r="G403" s="48">
        <f>IF(OR(B403="",C403=""),"",IFERROR(IF(MAXIFS($C$4:C402,$B$4:B402,B403)=0,"",C403-MAXIFS($C$4:C402,$B$4:B402,B403)),""))</f>
        <v/>
      </c>
      <c r="H403" s="56">
        <f>IF(OR(G403="",G403=0,D403=""),"",D403/G403*100)</f>
        <v/>
      </c>
      <c r="I403" s="57">
        <f>IF(OR(G403="",G403=0,F403=""),"",F403/G403)</f>
        <v/>
      </c>
      <c r="J403" s="40" t="n"/>
      <c r="K403" s="40" t="n"/>
      <c r="L403" s="40" t="n"/>
    </row>
    <row r="404">
      <c r="A404" s="35" t="n"/>
      <c r="B404" s="34" t="n"/>
      <c r="C404" s="39" t="n"/>
      <c r="D404" s="53" t="n"/>
      <c r="E404" s="54" t="n"/>
      <c r="F404" s="55">
        <f>IF(OR(D404="",E404=""),"",D404*E404)</f>
        <v/>
      </c>
      <c r="G404" s="48">
        <f>IF(OR(B404="",C404=""),"",IFERROR(IF(MAXIFS($C$4:C403,$B$4:B403,B404)=0,"",C404-MAXIFS($C$4:C403,$B$4:B403,B404)),""))</f>
        <v/>
      </c>
      <c r="H404" s="56">
        <f>IF(OR(G404="",G404=0,D404=""),"",D404/G404*100)</f>
        <v/>
      </c>
      <c r="I404" s="57">
        <f>IF(OR(G404="",G404=0,F404=""),"",F404/G404)</f>
        <v/>
      </c>
      <c r="J404" s="38" t="n"/>
      <c r="K404" s="38" t="n"/>
      <c r="L404" s="38" t="n"/>
    </row>
    <row r="405">
      <c r="A405" s="33" t="n"/>
      <c r="B405" s="32" t="n"/>
      <c r="C405" s="41" t="n"/>
      <c r="D405" s="58" t="n"/>
      <c r="E405" s="59" t="n"/>
      <c r="F405" s="55">
        <f>IF(OR(D405="",E405=""),"",D405*E405)</f>
        <v/>
      </c>
      <c r="G405" s="48">
        <f>IF(OR(B405="",C405=""),"",IFERROR(IF(MAXIFS($C$4:C404,$B$4:B404,B405)=0,"",C405-MAXIFS($C$4:C404,$B$4:B404,B405)),""))</f>
        <v/>
      </c>
      <c r="H405" s="56">
        <f>IF(OR(G405="",G405=0,D405=""),"",D405/G405*100)</f>
        <v/>
      </c>
      <c r="I405" s="57">
        <f>IF(OR(G405="",G405=0,F405=""),"",F405/G405)</f>
        <v/>
      </c>
      <c r="J405" s="40" t="n"/>
      <c r="K405" s="40" t="n"/>
      <c r="L405" s="40" t="n"/>
    </row>
    <row r="406">
      <c r="A406" s="35" t="n"/>
      <c r="B406" s="34" t="n"/>
      <c r="C406" s="39" t="n"/>
      <c r="D406" s="53" t="n"/>
      <c r="E406" s="54" t="n"/>
      <c r="F406" s="55">
        <f>IF(OR(D406="",E406=""),"",D406*E406)</f>
        <v/>
      </c>
      <c r="G406" s="48">
        <f>IF(OR(B406="",C406=""),"",IFERROR(IF(MAXIFS($C$4:C405,$B$4:B405,B406)=0,"",C406-MAXIFS($C$4:C405,$B$4:B405,B406)),""))</f>
        <v/>
      </c>
      <c r="H406" s="56">
        <f>IF(OR(G406="",G406=0,D406=""),"",D406/G406*100)</f>
        <v/>
      </c>
      <c r="I406" s="57">
        <f>IF(OR(G406="",G406=0,F406=""),"",F406/G406)</f>
        <v/>
      </c>
      <c r="J406" s="38" t="n"/>
      <c r="K406" s="38" t="n"/>
      <c r="L406" s="38" t="n"/>
    </row>
    <row r="407">
      <c r="A407" s="33" t="n"/>
      <c r="B407" s="32" t="n"/>
      <c r="C407" s="41" t="n"/>
      <c r="D407" s="58" t="n"/>
      <c r="E407" s="59" t="n"/>
      <c r="F407" s="55">
        <f>IF(OR(D407="",E407=""),"",D407*E407)</f>
        <v/>
      </c>
      <c r="G407" s="48">
        <f>IF(OR(B407="",C407=""),"",IFERROR(IF(MAXIFS($C$4:C406,$B$4:B406,B407)=0,"",C407-MAXIFS($C$4:C406,$B$4:B406,B407)),""))</f>
        <v/>
      </c>
      <c r="H407" s="56">
        <f>IF(OR(G407="",G407=0,D407=""),"",D407/G407*100)</f>
        <v/>
      </c>
      <c r="I407" s="57">
        <f>IF(OR(G407="",G407=0,F407=""),"",F407/G407)</f>
        <v/>
      </c>
      <c r="J407" s="40" t="n"/>
      <c r="K407" s="40" t="n"/>
      <c r="L407" s="40" t="n"/>
    </row>
    <row r="408">
      <c r="A408" s="35" t="n"/>
      <c r="B408" s="34" t="n"/>
      <c r="C408" s="39" t="n"/>
      <c r="D408" s="53" t="n"/>
      <c r="E408" s="54" t="n"/>
      <c r="F408" s="55">
        <f>IF(OR(D408="",E408=""),"",D408*E408)</f>
        <v/>
      </c>
      <c r="G408" s="48">
        <f>IF(OR(B408="",C408=""),"",IFERROR(IF(MAXIFS($C$4:C407,$B$4:B407,B408)=0,"",C408-MAXIFS($C$4:C407,$B$4:B407,B408)),""))</f>
        <v/>
      </c>
      <c r="H408" s="56">
        <f>IF(OR(G408="",G408=0,D408=""),"",D408/G408*100)</f>
        <v/>
      </c>
      <c r="I408" s="57">
        <f>IF(OR(G408="",G408=0,F408=""),"",F408/G408)</f>
        <v/>
      </c>
      <c r="J408" s="38" t="n"/>
      <c r="K408" s="38" t="n"/>
      <c r="L408" s="38" t="n"/>
    </row>
    <row r="409">
      <c r="A409" s="33" t="n"/>
      <c r="B409" s="32" t="n"/>
      <c r="C409" s="41" t="n"/>
      <c r="D409" s="58" t="n"/>
      <c r="E409" s="59" t="n"/>
      <c r="F409" s="55">
        <f>IF(OR(D409="",E409=""),"",D409*E409)</f>
        <v/>
      </c>
      <c r="G409" s="48">
        <f>IF(OR(B409="",C409=""),"",IFERROR(IF(MAXIFS($C$4:C408,$B$4:B408,B409)=0,"",C409-MAXIFS($C$4:C408,$B$4:B408,B409)),""))</f>
        <v/>
      </c>
      <c r="H409" s="56">
        <f>IF(OR(G409="",G409=0,D409=""),"",D409/G409*100)</f>
        <v/>
      </c>
      <c r="I409" s="57">
        <f>IF(OR(G409="",G409=0,F409=""),"",F409/G409)</f>
        <v/>
      </c>
      <c r="J409" s="40" t="n"/>
      <c r="K409" s="40" t="n"/>
      <c r="L409" s="40" t="n"/>
    </row>
    <row r="410">
      <c r="A410" s="35" t="n"/>
      <c r="B410" s="34" t="n"/>
      <c r="C410" s="39" t="n"/>
      <c r="D410" s="53" t="n"/>
      <c r="E410" s="54" t="n"/>
      <c r="F410" s="55">
        <f>IF(OR(D410="",E410=""),"",D410*E410)</f>
        <v/>
      </c>
      <c r="G410" s="48">
        <f>IF(OR(B410="",C410=""),"",IFERROR(IF(MAXIFS($C$4:C409,$B$4:B409,B410)=0,"",C410-MAXIFS($C$4:C409,$B$4:B409,B410)),""))</f>
        <v/>
      </c>
      <c r="H410" s="56">
        <f>IF(OR(G410="",G410=0,D410=""),"",D410/G410*100)</f>
        <v/>
      </c>
      <c r="I410" s="57">
        <f>IF(OR(G410="",G410=0,F410=""),"",F410/G410)</f>
        <v/>
      </c>
      <c r="J410" s="38" t="n"/>
      <c r="K410" s="38" t="n"/>
      <c r="L410" s="38" t="n"/>
    </row>
    <row r="411">
      <c r="A411" s="33" t="n"/>
      <c r="B411" s="32" t="n"/>
      <c r="C411" s="41" t="n"/>
      <c r="D411" s="58" t="n"/>
      <c r="E411" s="59" t="n"/>
      <c r="F411" s="55">
        <f>IF(OR(D411="",E411=""),"",D411*E411)</f>
        <v/>
      </c>
      <c r="G411" s="48">
        <f>IF(OR(B411="",C411=""),"",IFERROR(IF(MAXIFS($C$4:C410,$B$4:B410,B411)=0,"",C411-MAXIFS($C$4:C410,$B$4:B410,B411)),""))</f>
        <v/>
      </c>
      <c r="H411" s="56">
        <f>IF(OR(G411="",G411=0,D411=""),"",D411/G411*100)</f>
        <v/>
      </c>
      <c r="I411" s="57">
        <f>IF(OR(G411="",G411=0,F411=""),"",F411/G411)</f>
        <v/>
      </c>
      <c r="J411" s="40" t="n"/>
      <c r="K411" s="40" t="n"/>
      <c r="L411" s="40" t="n"/>
    </row>
    <row r="412">
      <c r="A412" s="35" t="n"/>
      <c r="B412" s="34" t="n"/>
      <c r="C412" s="39" t="n"/>
      <c r="D412" s="53" t="n"/>
      <c r="E412" s="54" t="n"/>
      <c r="F412" s="55">
        <f>IF(OR(D412="",E412=""),"",D412*E412)</f>
        <v/>
      </c>
      <c r="G412" s="48">
        <f>IF(OR(B412="",C412=""),"",IFERROR(IF(MAXIFS($C$4:C411,$B$4:B411,B412)=0,"",C412-MAXIFS($C$4:C411,$B$4:B411,B412)),""))</f>
        <v/>
      </c>
      <c r="H412" s="56">
        <f>IF(OR(G412="",G412=0,D412=""),"",D412/G412*100)</f>
        <v/>
      </c>
      <c r="I412" s="57">
        <f>IF(OR(G412="",G412=0,F412=""),"",F412/G412)</f>
        <v/>
      </c>
      <c r="J412" s="38" t="n"/>
      <c r="K412" s="38" t="n"/>
      <c r="L412" s="38" t="n"/>
    </row>
    <row r="413">
      <c r="A413" s="33" t="n"/>
      <c r="B413" s="32" t="n"/>
      <c r="C413" s="41" t="n"/>
      <c r="D413" s="58" t="n"/>
      <c r="E413" s="59" t="n"/>
      <c r="F413" s="55">
        <f>IF(OR(D413="",E413=""),"",D413*E413)</f>
        <v/>
      </c>
      <c r="G413" s="48">
        <f>IF(OR(B413="",C413=""),"",IFERROR(IF(MAXIFS($C$4:C412,$B$4:B412,B413)=0,"",C413-MAXIFS($C$4:C412,$B$4:B412,B413)),""))</f>
        <v/>
      </c>
      <c r="H413" s="56">
        <f>IF(OR(G413="",G413=0,D413=""),"",D413/G413*100)</f>
        <v/>
      </c>
      <c r="I413" s="57">
        <f>IF(OR(G413="",G413=0,F413=""),"",F413/G413)</f>
        <v/>
      </c>
      <c r="J413" s="40" t="n"/>
      <c r="K413" s="40" t="n"/>
      <c r="L413" s="40" t="n"/>
    </row>
    <row r="414">
      <c r="A414" s="35" t="n"/>
      <c r="B414" s="34" t="n"/>
      <c r="C414" s="39" t="n"/>
      <c r="D414" s="53" t="n"/>
      <c r="E414" s="54" t="n"/>
      <c r="F414" s="55">
        <f>IF(OR(D414="",E414=""),"",D414*E414)</f>
        <v/>
      </c>
      <c r="G414" s="48">
        <f>IF(OR(B414="",C414=""),"",IFERROR(IF(MAXIFS($C$4:C413,$B$4:B413,B414)=0,"",C414-MAXIFS($C$4:C413,$B$4:B413,B414)),""))</f>
        <v/>
      </c>
      <c r="H414" s="56">
        <f>IF(OR(G414="",G414=0,D414=""),"",D414/G414*100)</f>
        <v/>
      </c>
      <c r="I414" s="57">
        <f>IF(OR(G414="",G414=0,F414=""),"",F414/G414)</f>
        <v/>
      </c>
      <c r="J414" s="38" t="n"/>
      <c r="K414" s="38" t="n"/>
      <c r="L414" s="38" t="n"/>
    </row>
    <row r="415">
      <c r="A415" s="33" t="n"/>
      <c r="B415" s="32" t="n"/>
      <c r="C415" s="41" t="n"/>
      <c r="D415" s="58" t="n"/>
      <c r="E415" s="59" t="n"/>
      <c r="F415" s="55">
        <f>IF(OR(D415="",E415=""),"",D415*E415)</f>
        <v/>
      </c>
      <c r="G415" s="48">
        <f>IF(OR(B415="",C415=""),"",IFERROR(IF(MAXIFS($C$4:C414,$B$4:B414,B415)=0,"",C415-MAXIFS($C$4:C414,$B$4:B414,B415)),""))</f>
        <v/>
      </c>
      <c r="H415" s="56">
        <f>IF(OR(G415="",G415=0,D415=""),"",D415/G415*100)</f>
        <v/>
      </c>
      <c r="I415" s="57">
        <f>IF(OR(G415="",G415=0,F415=""),"",F415/G415)</f>
        <v/>
      </c>
      <c r="J415" s="40" t="n"/>
      <c r="K415" s="40" t="n"/>
      <c r="L415" s="40" t="n"/>
    </row>
    <row r="416">
      <c r="A416" s="35" t="n"/>
      <c r="B416" s="34" t="n"/>
      <c r="C416" s="39" t="n"/>
      <c r="D416" s="53" t="n"/>
      <c r="E416" s="54" t="n"/>
      <c r="F416" s="55">
        <f>IF(OR(D416="",E416=""),"",D416*E416)</f>
        <v/>
      </c>
      <c r="G416" s="48">
        <f>IF(OR(B416="",C416=""),"",IFERROR(IF(MAXIFS($C$4:C415,$B$4:B415,B416)=0,"",C416-MAXIFS($C$4:C415,$B$4:B415,B416)),""))</f>
        <v/>
      </c>
      <c r="H416" s="56">
        <f>IF(OR(G416="",G416=0,D416=""),"",D416/G416*100)</f>
        <v/>
      </c>
      <c r="I416" s="57">
        <f>IF(OR(G416="",G416=0,F416=""),"",F416/G416)</f>
        <v/>
      </c>
      <c r="J416" s="38" t="n"/>
      <c r="K416" s="38" t="n"/>
      <c r="L416" s="38" t="n"/>
    </row>
    <row r="417">
      <c r="A417" s="33" t="n"/>
      <c r="B417" s="32" t="n"/>
      <c r="C417" s="41" t="n"/>
      <c r="D417" s="58" t="n"/>
      <c r="E417" s="59" t="n"/>
      <c r="F417" s="55">
        <f>IF(OR(D417="",E417=""),"",D417*E417)</f>
        <v/>
      </c>
      <c r="G417" s="48">
        <f>IF(OR(B417="",C417=""),"",IFERROR(IF(MAXIFS($C$4:C416,$B$4:B416,B417)=0,"",C417-MAXIFS($C$4:C416,$B$4:B416,B417)),""))</f>
        <v/>
      </c>
      <c r="H417" s="56">
        <f>IF(OR(G417="",G417=0,D417=""),"",D417/G417*100)</f>
        <v/>
      </c>
      <c r="I417" s="57">
        <f>IF(OR(G417="",G417=0,F417=""),"",F417/G417)</f>
        <v/>
      </c>
      <c r="J417" s="40" t="n"/>
      <c r="K417" s="40" t="n"/>
      <c r="L417" s="40" t="n"/>
    </row>
    <row r="418">
      <c r="A418" s="35" t="n"/>
      <c r="B418" s="34" t="n"/>
      <c r="C418" s="39" t="n"/>
      <c r="D418" s="53" t="n"/>
      <c r="E418" s="54" t="n"/>
      <c r="F418" s="55">
        <f>IF(OR(D418="",E418=""),"",D418*E418)</f>
        <v/>
      </c>
      <c r="G418" s="48">
        <f>IF(OR(B418="",C418=""),"",IFERROR(IF(MAXIFS($C$4:C417,$B$4:B417,B418)=0,"",C418-MAXIFS($C$4:C417,$B$4:B417,B418)),""))</f>
        <v/>
      </c>
      <c r="H418" s="56">
        <f>IF(OR(G418="",G418=0,D418=""),"",D418/G418*100)</f>
        <v/>
      </c>
      <c r="I418" s="57">
        <f>IF(OR(G418="",G418=0,F418=""),"",F418/G418)</f>
        <v/>
      </c>
      <c r="J418" s="38" t="n"/>
      <c r="K418" s="38" t="n"/>
      <c r="L418" s="38" t="n"/>
    </row>
    <row r="419">
      <c r="A419" s="33" t="n"/>
      <c r="B419" s="32" t="n"/>
      <c r="C419" s="41" t="n"/>
      <c r="D419" s="58" t="n"/>
      <c r="E419" s="59" t="n"/>
      <c r="F419" s="55">
        <f>IF(OR(D419="",E419=""),"",D419*E419)</f>
        <v/>
      </c>
      <c r="G419" s="48">
        <f>IF(OR(B419="",C419=""),"",IFERROR(IF(MAXIFS($C$4:C418,$B$4:B418,B419)=0,"",C419-MAXIFS($C$4:C418,$B$4:B418,B419)),""))</f>
        <v/>
      </c>
      <c r="H419" s="56">
        <f>IF(OR(G419="",G419=0,D419=""),"",D419/G419*100)</f>
        <v/>
      </c>
      <c r="I419" s="57">
        <f>IF(OR(G419="",G419=0,F419=""),"",F419/G419)</f>
        <v/>
      </c>
      <c r="J419" s="40" t="n"/>
      <c r="K419" s="40" t="n"/>
      <c r="L419" s="40" t="n"/>
    </row>
    <row r="420">
      <c r="A420" s="35" t="n"/>
      <c r="B420" s="34" t="n"/>
      <c r="C420" s="39" t="n"/>
      <c r="D420" s="53" t="n"/>
      <c r="E420" s="54" t="n"/>
      <c r="F420" s="55">
        <f>IF(OR(D420="",E420=""),"",D420*E420)</f>
        <v/>
      </c>
      <c r="G420" s="48">
        <f>IF(OR(B420="",C420=""),"",IFERROR(IF(MAXIFS($C$4:C419,$B$4:B419,B420)=0,"",C420-MAXIFS($C$4:C419,$B$4:B419,B420)),""))</f>
        <v/>
      </c>
      <c r="H420" s="56">
        <f>IF(OR(G420="",G420=0,D420=""),"",D420/G420*100)</f>
        <v/>
      </c>
      <c r="I420" s="57">
        <f>IF(OR(G420="",G420=0,F420=""),"",F420/G420)</f>
        <v/>
      </c>
      <c r="J420" s="38" t="n"/>
      <c r="K420" s="38" t="n"/>
      <c r="L420" s="38" t="n"/>
    </row>
    <row r="421">
      <c r="A421" s="33" t="n"/>
      <c r="B421" s="32" t="n"/>
      <c r="C421" s="41" t="n"/>
      <c r="D421" s="58" t="n"/>
      <c r="E421" s="59" t="n"/>
      <c r="F421" s="55">
        <f>IF(OR(D421="",E421=""),"",D421*E421)</f>
        <v/>
      </c>
      <c r="G421" s="48">
        <f>IF(OR(B421="",C421=""),"",IFERROR(IF(MAXIFS($C$4:C420,$B$4:B420,B421)=0,"",C421-MAXIFS($C$4:C420,$B$4:B420,B421)),""))</f>
        <v/>
      </c>
      <c r="H421" s="56">
        <f>IF(OR(G421="",G421=0,D421=""),"",D421/G421*100)</f>
        <v/>
      </c>
      <c r="I421" s="57">
        <f>IF(OR(G421="",G421=0,F421=""),"",F421/G421)</f>
        <v/>
      </c>
      <c r="J421" s="40" t="n"/>
      <c r="K421" s="40" t="n"/>
      <c r="L421" s="40" t="n"/>
    </row>
    <row r="422">
      <c r="A422" s="35" t="n"/>
      <c r="B422" s="34" t="n"/>
      <c r="C422" s="39" t="n"/>
      <c r="D422" s="53" t="n"/>
      <c r="E422" s="54" t="n"/>
      <c r="F422" s="55">
        <f>IF(OR(D422="",E422=""),"",D422*E422)</f>
        <v/>
      </c>
      <c r="G422" s="48">
        <f>IF(OR(B422="",C422=""),"",IFERROR(IF(MAXIFS($C$4:C421,$B$4:B421,B422)=0,"",C422-MAXIFS($C$4:C421,$B$4:B421,B422)),""))</f>
        <v/>
      </c>
      <c r="H422" s="56">
        <f>IF(OR(G422="",G422=0,D422=""),"",D422/G422*100)</f>
        <v/>
      </c>
      <c r="I422" s="57">
        <f>IF(OR(G422="",G422=0,F422=""),"",F422/G422)</f>
        <v/>
      </c>
      <c r="J422" s="38" t="n"/>
      <c r="K422" s="38" t="n"/>
      <c r="L422" s="38" t="n"/>
    </row>
    <row r="423">
      <c r="A423" s="33" t="n"/>
      <c r="B423" s="32" t="n"/>
      <c r="C423" s="41" t="n"/>
      <c r="D423" s="58" t="n"/>
      <c r="E423" s="59" t="n"/>
      <c r="F423" s="55">
        <f>IF(OR(D423="",E423=""),"",D423*E423)</f>
        <v/>
      </c>
      <c r="G423" s="48">
        <f>IF(OR(B423="",C423=""),"",IFERROR(IF(MAXIFS($C$4:C422,$B$4:B422,B423)=0,"",C423-MAXIFS($C$4:C422,$B$4:B422,B423)),""))</f>
        <v/>
      </c>
      <c r="H423" s="56">
        <f>IF(OR(G423="",G423=0,D423=""),"",D423/G423*100)</f>
        <v/>
      </c>
      <c r="I423" s="57">
        <f>IF(OR(G423="",G423=0,F423=""),"",F423/G423)</f>
        <v/>
      </c>
      <c r="J423" s="40" t="n"/>
      <c r="K423" s="40" t="n"/>
      <c r="L423" s="40" t="n"/>
    </row>
    <row r="424">
      <c r="A424" s="35" t="n"/>
      <c r="B424" s="34" t="n"/>
      <c r="C424" s="39" t="n"/>
      <c r="D424" s="53" t="n"/>
      <c r="E424" s="54" t="n"/>
      <c r="F424" s="55">
        <f>IF(OR(D424="",E424=""),"",D424*E424)</f>
        <v/>
      </c>
      <c r="G424" s="48">
        <f>IF(OR(B424="",C424=""),"",IFERROR(IF(MAXIFS($C$4:C423,$B$4:B423,B424)=0,"",C424-MAXIFS($C$4:C423,$B$4:B423,B424)),""))</f>
        <v/>
      </c>
      <c r="H424" s="56">
        <f>IF(OR(G424="",G424=0,D424=""),"",D424/G424*100)</f>
        <v/>
      </c>
      <c r="I424" s="57">
        <f>IF(OR(G424="",G424=0,F424=""),"",F424/G424)</f>
        <v/>
      </c>
      <c r="J424" s="38" t="n"/>
      <c r="K424" s="38" t="n"/>
      <c r="L424" s="38" t="n"/>
    </row>
    <row r="425">
      <c r="A425" s="33" t="n"/>
      <c r="B425" s="32" t="n"/>
      <c r="C425" s="41" t="n"/>
      <c r="D425" s="58" t="n"/>
      <c r="E425" s="59" t="n"/>
      <c r="F425" s="55">
        <f>IF(OR(D425="",E425=""),"",D425*E425)</f>
        <v/>
      </c>
      <c r="G425" s="48">
        <f>IF(OR(B425="",C425=""),"",IFERROR(IF(MAXIFS($C$4:C424,$B$4:B424,B425)=0,"",C425-MAXIFS($C$4:C424,$B$4:B424,B425)),""))</f>
        <v/>
      </c>
      <c r="H425" s="56">
        <f>IF(OR(G425="",G425=0,D425=""),"",D425/G425*100)</f>
        <v/>
      </c>
      <c r="I425" s="57">
        <f>IF(OR(G425="",G425=0,F425=""),"",F425/G425)</f>
        <v/>
      </c>
      <c r="J425" s="40" t="n"/>
      <c r="K425" s="40" t="n"/>
      <c r="L425" s="40" t="n"/>
    </row>
    <row r="426">
      <c r="A426" s="35" t="n"/>
      <c r="B426" s="34" t="n"/>
      <c r="C426" s="39" t="n"/>
      <c r="D426" s="53" t="n"/>
      <c r="E426" s="54" t="n"/>
      <c r="F426" s="55">
        <f>IF(OR(D426="",E426=""),"",D426*E426)</f>
        <v/>
      </c>
      <c r="G426" s="48">
        <f>IF(OR(B426="",C426=""),"",IFERROR(IF(MAXIFS($C$4:C425,$B$4:B425,B426)=0,"",C426-MAXIFS($C$4:C425,$B$4:B425,B426)),""))</f>
        <v/>
      </c>
      <c r="H426" s="56">
        <f>IF(OR(G426="",G426=0,D426=""),"",D426/G426*100)</f>
        <v/>
      </c>
      <c r="I426" s="57">
        <f>IF(OR(G426="",G426=0,F426=""),"",F426/G426)</f>
        <v/>
      </c>
      <c r="J426" s="38" t="n"/>
      <c r="K426" s="38" t="n"/>
      <c r="L426" s="38" t="n"/>
    </row>
    <row r="427">
      <c r="A427" s="33" t="n"/>
      <c r="B427" s="32" t="n"/>
      <c r="C427" s="41" t="n"/>
      <c r="D427" s="58" t="n"/>
      <c r="E427" s="59" t="n"/>
      <c r="F427" s="55">
        <f>IF(OR(D427="",E427=""),"",D427*E427)</f>
        <v/>
      </c>
      <c r="G427" s="48">
        <f>IF(OR(B427="",C427=""),"",IFERROR(IF(MAXIFS($C$4:C426,$B$4:B426,B427)=0,"",C427-MAXIFS($C$4:C426,$B$4:B426,B427)),""))</f>
        <v/>
      </c>
      <c r="H427" s="56">
        <f>IF(OR(G427="",G427=0,D427=""),"",D427/G427*100)</f>
        <v/>
      </c>
      <c r="I427" s="57">
        <f>IF(OR(G427="",G427=0,F427=""),"",F427/G427)</f>
        <v/>
      </c>
      <c r="J427" s="40" t="n"/>
      <c r="K427" s="40" t="n"/>
      <c r="L427" s="40" t="n"/>
    </row>
    <row r="428">
      <c r="A428" s="35" t="n"/>
      <c r="B428" s="34" t="n"/>
      <c r="C428" s="39" t="n"/>
      <c r="D428" s="53" t="n"/>
      <c r="E428" s="54" t="n"/>
      <c r="F428" s="55">
        <f>IF(OR(D428="",E428=""),"",D428*E428)</f>
        <v/>
      </c>
      <c r="G428" s="48">
        <f>IF(OR(B428="",C428=""),"",IFERROR(IF(MAXIFS($C$4:C427,$B$4:B427,B428)=0,"",C428-MAXIFS($C$4:C427,$B$4:B427,B428)),""))</f>
        <v/>
      </c>
      <c r="H428" s="56">
        <f>IF(OR(G428="",G428=0,D428=""),"",D428/G428*100)</f>
        <v/>
      </c>
      <c r="I428" s="57">
        <f>IF(OR(G428="",G428=0,F428=""),"",F428/G428)</f>
        <v/>
      </c>
      <c r="J428" s="38" t="n"/>
      <c r="K428" s="38" t="n"/>
      <c r="L428" s="38" t="n"/>
    </row>
    <row r="429">
      <c r="A429" s="33" t="n"/>
      <c r="B429" s="32" t="n"/>
      <c r="C429" s="41" t="n"/>
      <c r="D429" s="58" t="n"/>
      <c r="E429" s="59" t="n"/>
      <c r="F429" s="55">
        <f>IF(OR(D429="",E429=""),"",D429*E429)</f>
        <v/>
      </c>
      <c r="G429" s="48">
        <f>IF(OR(B429="",C429=""),"",IFERROR(IF(MAXIFS($C$4:C428,$B$4:B428,B429)=0,"",C429-MAXIFS($C$4:C428,$B$4:B428,B429)),""))</f>
        <v/>
      </c>
      <c r="H429" s="56">
        <f>IF(OR(G429="",G429=0,D429=""),"",D429/G429*100)</f>
        <v/>
      </c>
      <c r="I429" s="57">
        <f>IF(OR(G429="",G429=0,F429=""),"",F429/G429)</f>
        <v/>
      </c>
      <c r="J429" s="40" t="n"/>
      <c r="K429" s="40" t="n"/>
      <c r="L429" s="40" t="n"/>
    </row>
    <row r="430">
      <c r="A430" s="35" t="n"/>
      <c r="B430" s="34" t="n"/>
      <c r="C430" s="39" t="n"/>
      <c r="D430" s="53" t="n"/>
      <c r="E430" s="54" t="n"/>
      <c r="F430" s="55">
        <f>IF(OR(D430="",E430=""),"",D430*E430)</f>
        <v/>
      </c>
      <c r="G430" s="48">
        <f>IF(OR(B430="",C430=""),"",IFERROR(IF(MAXIFS($C$4:C429,$B$4:B429,B430)=0,"",C430-MAXIFS($C$4:C429,$B$4:B429,B430)),""))</f>
        <v/>
      </c>
      <c r="H430" s="56">
        <f>IF(OR(G430="",G430=0,D430=""),"",D430/G430*100)</f>
        <v/>
      </c>
      <c r="I430" s="57">
        <f>IF(OR(G430="",G430=0,F430=""),"",F430/G430)</f>
        <v/>
      </c>
      <c r="J430" s="38" t="n"/>
      <c r="K430" s="38" t="n"/>
      <c r="L430" s="38" t="n"/>
    </row>
    <row r="431">
      <c r="A431" s="33" t="n"/>
      <c r="B431" s="32" t="n"/>
      <c r="C431" s="41" t="n"/>
      <c r="D431" s="58" t="n"/>
      <c r="E431" s="59" t="n"/>
      <c r="F431" s="55">
        <f>IF(OR(D431="",E431=""),"",D431*E431)</f>
        <v/>
      </c>
      <c r="G431" s="48">
        <f>IF(OR(B431="",C431=""),"",IFERROR(IF(MAXIFS($C$4:C430,$B$4:B430,B431)=0,"",C431-MAXIFS($C$4:C430,$B$4:B430,B431)),""))</f>
        <v/>
      </c>
      <c r="H431" s="56">
        <f>IF(OR(G431="",G431=0,D431=""),"",D431/G431*100)</f>
        <v/>
      </c>
      <c r="I431" s="57">
        <f>IF(OR(G431="",G431=0,F431=""),"",F431/G431)</f>
        <v/>
      </c>
      <c r="J431" s="40" t="n"/>
      <c r="K431" s="40" t="n"/>
      <c r="L431" s="40" t="n"/>
    </row>
    <row r="432">
      <c r="A432" s="35" t="n"/>
      <c r="B432" s="34" t="n"/>
      <c r="C432" s="39" t="n"/>
      <c r="D432" s="53" t="n"/>
      <c r="E432" s="54" t="n"/>
      <c r="F432" s="55">
        <f>IF(OR(D432="",E432=""),"",D432*E432)</f>
        <v/>
      </c>
      <c r="G432" s="48">
        <f>IF(OR(B432="",C432=""),"",IFERROR(IF(MAXIFS($C$4:C431,$B$4:B431,B432)=0,"",C432-MAXIFS($C$4:C431,$B$4:B431,B432)),""))</f>
        <v/>
      </c>
      <c r="H432" s="56">
        <f>IF(OR(G432="",G432=0,D432=""),"",D432/G432*100)</f>
        <v/>
      </c>
      <c r="I432" s="57">
        <f>IF(OR(G432="",G432=0,F432=""),"",F432/G432)</f>
        <v/>
      </c>
      <c r="J432" s="38" t="n"/>
      <c r="K432" s="38" t="n"/>
      <c r="L432" s="38" t="n"/>
    </row>
    <row r="433">
      <c r="A433" s="33" t="n"/>
      <c r="B433" s="32" t="n"/>
      <c r="C433" s="41" t="n"/>
      <c r="D433" s="58" t="n"/>
      <c r="E433" s="59" t="n"/>
      <c r="F433" s="55">
        <f>IF(OR(D433="",E433=""),"",D433*E433)</f>
        <v/>
      </c>
      <c r="G433" s="48">
        <f>IF(OR(B433="",C433=""),"",IFERROR(IF(MAXIFS($C$4:C432,$B$4:B432,B433)=0,"",C433-MAXIFS($C$4:C432,$B$4:B432,B433)),""))</f>
        <v/>
      </c>
      <c r="H433" s="56">
        <f>IF(OR(G433="",G433=0,D433=""),"",D433/G433*100)</f>
        <v/>
      </c>
      <c r="I433" s="57">
        <f>IF(OR(G433="",G433=0,F433=""),"",F433/G433)</f>
        <v/>
      </c>
      <c r="J433" s="40" t="n"/>
      <c r="K433" s="40" t="n"/>
      <c r="L433" s="40" t="n"/>
    </row>
    <row r="434">
      <c r="A434" s="35" t="n"/>
      <c r="B434" s="34" t="n"/>
      <c r="C434" s="39" t="n"/>
      <c r="D434" s="53" t="n"/>
      <c r="E434" s="54" t="n"/>
      <c r="F434" s="55">
        <f>IF(OR(D434="",E434=""),"",D434*E434)</f>
        <v/>
      </c>
      <c r="G434" s="48">
        <f>IF(OR(B434="",C434=""),"",IFERROR(IF(MAXIFS($C$4:C433,$B$4:B433,B434)=0,"",C434-MAXIFS($C$4:C433,$B$4:B433,B434)),""))</f>
        <v/>
      </c>
      <c r="H434" s="56">
        <f>IF(OR(G434="",G434=0,D434=""),"",D434/G434*100)</f>
        <v/>
      </c>
      <c r="I434" s="57">
        <f>IF(OR(G434="",G434=0,F434=""),"",F434/G434)</f>
        <v/>
      </c>
      <c r="J434" s="38" t="n"/>
      <c r="K434" s="38" t="n"/>
      <c r="L434" s="38" t="n"/>
    </row>
    <row r="435">
      <c r="A435" s="33" t="n"/>
      <c r="B435" s="32" t="n"/>
      <c r="C435" s="41" t="n"/>
      <c r="D435" s="58" t="n"/>
      <c r="E435" s="59" t="n"/>
      <c r="F435" s="55">
        <f>IF(OR(D435="",E435=""),"",D435*E435)</f>
        <v/>
      </c>
      <c r="G435" s="48">
        <f>IF(OR(B435="",C435=""),"",IFERROR(IF(MAXIFS($C$4:C434,$B$4:B434,B435)=0,"",C435-MAXIFS($C$4:C434,$B$4:B434,B435)),""))</f>
        <v/>
      </c>
      <c r="H435" s="56">
        <f>IF(OR(G435="",G435=0,D435=""),"",D435/G435*100)</f>
        <v/>
      </c>
      <c r="I435" s="57">
        <f>IF(OR(G435="",G435=0,F435=""),"",F435/G435)</f>
        <v/>
      </c>
      <c r="J435" s="40" t="n"/>
      <c r="K435" s="40" t="n"/>
      <c r="L435" s="40" t="n"/>
    </row>
    <row r="436">
      <c r="A436" s="35" t="n"/>
      <c r="B436" s="34" t="n"/>
      <c r="C436" s="39" t="n"/>
      <c r="D436" s="53" t="n"/>
      <c r="E436" s="54" t="n"/>
      <c r="F436" s="55">
        <f>IF(OR(D436="",E436=""),"",D436*E436)</f>
        <v/>
      </c>
      <c r="G436" s="48">
        <f>IF(OR(B436="",C436=""),"",IFERROR(IF(MAXIFS($C$4:C435,$B$4:B435,B436)=0,"",C436-MAXIFS($C$4:C435,$B$4:B435,B436)),""))</f>
        <v/>
      </c>
      <c r="H436" s="56">
        <f>IF(OR(G436="",G436=0,D436=""),"",D436/G436*100)</f>
        <v/>
      </c>
      <c r="I436" s="57">
        <f>IF(OR(G436="",G436=0,F436=""),"",F436/G436)</f>
        <v/>
      </c>
      <c r="J436" s="38" t="n"/>
      <c r="K436" s="38" t="n"/>
      <c r="L436" s="38" t="n"/>
    </row>
    <row r="437">
      <c r="A437" s="33" t="n"/>
      <c r="B437" s="32" t="n"/>
      <c r="C437" s="41" t="n"/>
      <c r="D437" s="58" t="n"/>
      <c r="E437" s="59" t="n"/>
      <c r="F437" s="55">
        <f>IF(OR(D437="",E437=""),"",D437*E437)</f>
        <v/>
      </c>
      <c r="G437" s="48">
        <f>IF(OR(B437="",C437=""),"",IFERROR(IF(MAXIFS($C$4:C436,$B$4:B436,B437)=0,"",C437-MAXIFS($C$4:C436,$B$4:B436,B437)),""))</f>
        <v/>
      </c>
      <c r="H437" s="56">
        <f>IF(OR(G437="",G437=0,D437=""),"",D437/G437*100)</f>
        <v/>
      </c>
      <c r="I437" s="57">
        <f>IF(OR(G437="",G437=0,F437=""),"",F437/G437)</f>
        <v/>
      </c>
      <c r="J437" s="40" t="n"/>
      <c r="K437" s="40" t="n"/>
      <c r="L437" s="40" t="n"/>
    </row>
    <row r="438">
      <c r="A438" s="35" t="n"/>
      <c r="B438" s="34" t="n"/>
      <c r="C438" s="39" t="n"/>
      <c r="D438" s="53" t="n"/>
      <c r="E438" s="54" t="n"/>
      <c r="F438" s="55">
        <f>IF(OR(D438="",E438=""),"",D438*E438)</f>
        <v/>
      </c>
      <c r="G438" s="48">
        <f>IF(OR(B438="",C438=""),"",IFERROR(IF(MAXIFS($C$4:C437,$B$4:B437,B438)=0,"",C438-MAXIFS($C$4:C437,$B$4:B437,B438)),""))</f>
        <v/>
      </c>
      <c r="H438" s="56">
        <f>IF(OR(G438="",G438=0,D438=""),"",D438/G438*100)</f>
        <v/>
      </c>
      <c r="I438" s="57">
        <f>IF(OR(G438="",G438=0,F438=""),"",F438/G438)</f>
        <v/>
      </c>
      <c r="J438" s="38" t="n"/>
      <c r="K438" s="38" t="n"/>
      <c r="L438" s="38" t="n"/>
    </row>
    <row r="439">
      <c r="A439" s="33" t="n"/>
      <c r="B439" s="32" t="n"/>
      <c r="C439" s="41" t="n"/>
      <c r="D439" s="58" t="n"/>
      <c r="E439" s="59" t="n"/>
      <c r="F439" s="55">
        <f>IF(OR(D439="",E439=""),"",D439*E439)</f>
        <v/>
      </c>
      <c r="G439" s="48">
        <f>IF(OR(B439="",C439=""),"",IFERROR(IF(MAXIFS($C$4:C438,$B$4:B438,B439)=0,"",C439-MAXIFS($C$4:C438,$B$4:B438,B439)),""))</f>
        <v/>
      </c>
      <c r="H439" s="56">
        <f>IF(OR(G439="",G439=0,D439=""),"",D439/G439*100)</f>
        <v/>
      </c>
      <c r="I439" s="57">
        <f>IF(OR(G439="",G439=0,F439=""),"",F439/G439)</f>
        <v/>
      </c>
      <c r="J439" s="40" t="n"/>
      <c r="K439" s="40" t="n"/>
      <c r="L439" s="40" t="n"/>
    </row>
    <row r="440">
      <c r="A440" s="35" t="n"/>
      <c r="B440" s="34" t="n"/>
      <c r="C440" s="39" t="n"/>
      <c r="D440" s="53" t="n"/>
      <c r="E440" s="54" t="n"/>
      <c r="F440" s="55">
        <f>IF(OR(D440="",E440=""),"",D440*E440)</f>
        <v/>
      </c>
      <c r="G440" s="48">
        <f>IF(OR(B440="",C440=""),"",IFERROR(IF(MAXIFS($C$4:C439,$B$4:B439,B440)=0,"",C440-MAXIFS($C$4:C439,$B$4:B439,B440)),""))</f>
        <v/>
      </c>
      <c r="H440" s="56">
        <f>IF(OR(G440="",G440=0,D440=""),"",D440/G440*100)</f>
        <v/>
      </c>
      <c r="I440" s="57">
        <f>IF(OR(G440="",G440=0,F440=""),"",F440/G440)</f>
        <v/>
      </c>
      <c r="J440" s="38" t="n"/>
      <c r="K440" s="38" t="n"/>
      <c r="L440" s="38" t="n"/>
    </row>
    <row r="441">
      <c r="A441" s="33" t="n"/>
      <c r="B441" s="32" t="n"/>
      <c r="C441" s="41" t="n"/>
      <c r="D441" s="58" t="n"/>
      <c r="E441" s="59" t="n"/>
      <c r="F441" s="55">
        <f>IF(OR(D441="",E441=""),"",D441*E441)</f>
        <v/>
      </c>
      <c r="G441" s="48">
        <f>IF(OR(B441="",C441=""),"",IFERROR(IF(MAXIFS($C$4:C440,$B$4:B440,B441)=0,"",C441-MAXIFS($C$4:C440,$B$4:B440,B441)),""))</f>
        <v/>
      </c>
      <c r="H441" s="56">
        <f>IF(OR(G441="",G441=0,D441=""),"",D441/G441*100)</f>
        <v/>
      </c>
      <c r="I441" s="57">
        <f>IF(OR(G441="",G441=0,F441=""),"",F441/G441)</f>
        <v/>
      </c>
      <c r="J441" s="40" t="n"/>
      <c r="K441" s="40" t="n"/>
      <c r="L441" s="40" t="n"/>
    </row>
    <row r="442">
      <c r="A442" s="35" t="n"/>
      <c r="B442" s="34" t="n"/>
      <c r="C442" s="39" t="n"/>
      <c r="D442" s="53" t="n"/>
      <c r="E442" s="54" t="n"/>
      <c r="F442" s="55">
        <f>IF(OR(D442="",E442=""),"",D442*E442)</f>
        <v/>
      </c>
      <c r="G442" s="48">
        <f>IF(OR(B442="",C442=""),"",IFERROR(IF(MAXIFS($C$4:C441,$B$4:B441,B442)=0,"",C442-MAXIFS($C$4:C441,$B$4:B441,B442)),""))</f>
        <v/>
      </c>
      <c r="H442" s="56">
        <f>IF(OR(G442="",G442=0,D442=""),"",D442/G442*100)</f>
        <v/>
      </c>
      <c r="I442" s="57">
        <f>IF(OR(G442="",G442=0,F442=""),"",F442/G442)</f>
        <v/>
      </c>
      <c r="J442" s="38" t="n"/>
      <c r="K442" s="38" t="n"/>
      <c r="L442" s="38" t="n"/>
    </row>
    <row r="443">
      <c r="A443" s="33" t="n"/>
      <c r="B443" s="32" t="n"/>
      <c r="C443" s="41" t="n"/>
      <c r="D443" s="58" t="n"/>
      <c r="E443" s="59" t="n"/>
      <c r="F443" s="55">
        <f>IF(OR(D443="",E443=""),"",D443*E443)</f>
        <v/>
      </c>
      <c r="G443" s="48">
        <f>IF(OR(B443="",C443=""),"",IFERROR(IF(MAXIFS($C$4:C442,$B$4:B442,B443)=0,"",C443-MAXIFS($C$4:C442,$B$4:B442,B443)),""))</f>
        <v/>
      </c>
      <c r="H443" s="56">
        <f>IF(OR(G443="",G443=0,D443=""),"",D443/G443*100)</f>
        <v/>
      </c>
      <c r="I443" s="57">
        <f>IF(OR(G443="",G443=0,F443=""),"",F443/G443)</f>
        <v/>
      </c>
      <c r="J443" s="40" t="n"/>
      <c r="K443" s="40" t="n"/>
      <c r="L443" s="40" t="n"/>
    </row>
    <row r="444">
      <c r="A444" s="35" t="n"/>
      <c r="B444" s="34" t="n"/>
      <c r="C444" s="39" t="n"/>
      <c r="D444" s="53" t="n"/>
      <c r="E444" s="54" t="n"/>
      <c r="F444" s="55">
        <f>IF(OR(D444="",E444=""),"",D444*E444)</f>
        <v/>
      </c>
      <c r="G444" s="48">
        <f>IF(OR(B444="",C444=""),"",IFERROR(IF(MAXIFS($C$4:C443,$B$4:B443,B444)=0,"",C444-MAXIFS($C$4:C443,$B$4:B443,B444)),""))</f>
        <v/>
      </c>
      <c r="H444" s="56">
        <f>IF(OR(G444="",G444=0,D444=""),"",D444/G444*100)</f>
        <v/>
      </c>
      <c r="I444" s="57">
        <f>IF(OR(G444="",G444=0,F444=""),"",F444/G444)</f>
        <v/>
      </c>
      <c r="J444" s="38" t="n"/>
      <c r="K444" s="38" t="n"/>
      <c r="L444" s="38" t="n"/>
    </row>
    <row r="445">
      <c r="A445" s="33" t="n"/>
      <c r="B445" s="32" t="n"/>
      <c r="C445" s="41" t="n"/>
      <c r="D445" s="58" t="n"/>
      <c r="E445" s="59" t="n"/>
      <c r="F445" s="55">
        <f>IF(OR(D445="",E445=""),"",D445*E445)</f>
        <v/>
      </c>
      <c r="G445" s="48">
        <f>IF(OR(B445="",C445=""),"",IFERROR(IF(MAXIFS($C$4:C444,$B$4:B444,B445)=0,"",C445-MAXIFS($C$4:C444,$B$4:B444,B445)),""))</f>
        <v/>
      </c>
      <c r="H445" s="56">
        <f>IF(OR(G445="",G445=0,D445=""),"",D445/G445*100)</f>
        <v/>
      </c>
      <c r="I445" s="57">
        <f>IF(OR(G445="",G445=0,F445=""),"",F445/G445)</f>
        <v/>
      </c>
      <c r="J445" s="40" t="n"/>
      <c r="K445" s="40" t="n"/>
      <c r="L445" s="40" t="n"/>
    </row>
    <row r="446">
      <c r="A446" s="35" t="n"/>
      <c r="B446" s="34" t="n"/>
      <c r="C446" s="39" t="n"/>
      <c r="D446" s="53" t="n"/>
      <c r="E446" s="54" t="n"/>
      <c r="F446" s="55">
        <f>IF(OR(D446="",E446=""),"",D446*E446)</f>
        <v/>
      </c>
      <c r="G446" s="48">
        <f>IF(OR(B446="",C446=""),"",IFERROR(IF(MAXIFS($C$4:C445,$B$4:B445,B446)=0,"",C446-MAXIFS($C$4:C445,$B$4:B445,B446)),""))</f>
        <v/>
      </c>
      <c r="H446" s="56">
        <f>IF(OR(G446="",G446=0,D446=""),"",D446/G446*100)</f>
        <v/>
      </c>
      <c r="I446" s="57">
        <f>IF(OR(G446="",G446=0,F446=""),"",F446/G446)</f>
        <v/>
      </c>
      <c r="J446" s="38" t="n"/>
      <c r="K446" s="38" t="n"/>
      <c r="L446" s="38" t="n"/>
    </row>
    <row r="447">
      <c r="A447" s="33" t="n"/>
      <c r="B447" s="32" t="n"/>
      <c r="C447" s="41" t="n"/>
      <c r="D447" s="58" t="n"/>
      <c r="E447" s="59" t="n"/>
      <c r="F447" s="55">
        <f>IF(OR(D447="",E447=""),"",D447*E447)</f>
        <v/>
      </c>
      <c r="G447" s="48">
        <f>IF(OR(B447="",C447=""),"",IFERROR(IF(MAXIFS($C$4:C446,$B$4:B446,B447)=0,"",C447-MAXIFS($C$4:C446,$B$4:B446,B447)),""))</f>
        <v/>
      </c>
      <c r="H447" s="56">
        <f>IF(OR(G447="",G447=0,D447=""),"",D447/G447*100)</f>
        <v/>
      </c>
      <c r="I447" s="57">
        <f>IF(OR(G447="",G447=0,F447=""),"",F447/G447)</f>
        <v/>
      </c>
      <c r="J447" s="40" t="n"/>
      <c r="K447" s="40" t="n"/>
      <c r="L447" s="40" t="n"/>
    </row>
    <row r="448">
      <c r="A448" s="35" t="n"/>
      <c r="B448" s="34" t="n"/>
      <c r="C448" s="39" t="n"/>
      <c r="D448" s="53" t="n"/>
      <c r="E448" s="54" t="n"/>
      <c r="F448" s="55">
        <f>IF(OR(D448="",E448=""),"",D448*E448)</f>
        <v/>
      </c>
      <c r="G448" s="48">
        <f>IF(OR(B448="",C448=""),"",IFERROR(IF(MAXIFS($C$4:C447,$B$4:B447,B448)=0,"",C448-MAXIFS($C$4:C447,$B$4:B447,B448)),""))</f>
        <v/>
      </c>
      <c r="H448" s="56">
        <f>IF(OR(G448="",G448=0,D448=""),"",D448/G448*100)</f>
        <v/>
      </c>
      <c r="I448" s="57">
        <f>IF(OR(G448="",G448=0,F448=""),"",F448/G448)</f>
        <v/>
      </c>
      <c r="J448" s="38" t="n"/>
      <c r="K448" s="38" t="n"/>
      <c r="L448" s="38" t="n"/>
    </row>
    <row r="449">
      <c r="A449" s="33" t="n"/>
      <c r="B449" s="32" t="n"/>
      <c r="C449" s="41" t="n"/>
      <c r="D449" s="58" t="n"/>
      <c r="E449" s="59" t="n"/>
      <c r="F449" s="55">
        <f>IF(OR(D449="",E449=""),"",D449*E449)</f>
        <v/>
      </c>
      <c r="G449" s="48">
        <f>IF(OR(B449="",C449=""),"",IFERROR(IF(MAXIFS($C$4:C448,$B$4:B448,B449)=0,"",C449-MAXIFS($C$4:C448,$B$4:B448,B449)),""))</f>
        <v/>
      </c>
      <c r="H449" s="56">
        <f>IF(OR(G449="",G449=0,D449=""),"",D449/G449*100)</f>
        <v/>
      </c>
      <c r="I449" s="57">
        <f>IF(OR(G449="",G449=0,F449=""),"",F449/G449)</f>
        <v/>
      </c>
      <c r="J449" s="40" t="n"/>
      <c r="K449" s="40" t="n"/>
      <c r="L449" s="40" t="n"/>
    </row>
    <row r="450">
      <c r="A450" s="35" t="n"/>
      <c r="B450" s="34" t="n"/>
      <c r="C450" s="39" t="n"/>
      <c r="D450" s="53" t="n"/>
      <c r="E450" s="54" t="n"/>
      <c r="F450" s="55">
        <f>IF(OR(D450="",E450=""),"",D450*E450)</f>
        <v/>
      </c>
      <c r="G450" s="48">
        <f>IF(OR(B450="",C450=""),"",IFERROR(IF(MAXIFS($C$4:C449,$B$4:B449,B450)=0,"",C450-MAXIFS($C$4:C449,$B$4:B449,B450)),""))</f>
        <v/>
      </c>
      <c r="H450" s="56">
        <f>IF(OR(G450="",G450=0,D450=""),"",D450/G450*100)</f>
        <v/>
      </c>
      <c r="I450" s="57">
        <f>IF(OR(G450="",G450=0,F450=""),"",F450/G450)</f>
        <v/>
      </c>
      <c r="J450" s="38" t="n"/>
      <c r="K450" s="38" t="n"/>
      <c r="L450" s="38" t="n"/>
    </row>
    <row r="451">
      <c r="A451" s="33" t="n"/>
      <c r="B451" s="32" t="n"/>
      <c r="C451" s="41" t="n"/>
      <c r="D451" s="58" t="n"/>
      <c r="E451" s="59" t="n"/>
      <c r="F451" s="55">
        <f>IF(OR(D451="",E451=""),"",D451*E451)</f>
        <v/>
      </c>
      <c r="G451" s="48">
        <f>IF(OR(B451="",C451=""),"",IFERROR(IF(MAXIFS($C$4:C450,$B$4:B450,B451)=0,"",C451-MAXIFS($C$4:C450,$B$4:B450,B451)),""))</f>
        <v/>
      </c>
      <c r="H451" s="56">
        <f>IF(OR(G451="",G451=0,D451=""),"",D451/G451*100)</f>
        <v/>
      </c>
      <c r="I451" s="57">
        <f>IF(OR(G451="",G451=0,F451=""),"",F451/G451)</f>
        <v/>
      </c>
      <c r="J451" s="40" t="n"/>
      <c r="K451" s="40" t="n"/>
      <c r="L451" s="40" t="n"/>
    </row>
    <row r="452">
      <c r="A452" s="35" t="n"/>
      <c r="B452" s="34" t="n"/>
      <c r="C452" s="39" t="n"/>
      <c r="D452" s="53" t="n"/>
      <c r="E452" s="54" t="n"/>
      <c r="F452" s="55">
        <f>IF(OR(D452="",E452=""),"",D452*E452)</f>
        <v/>
      </c>
      <c r="G452" s="48">
        <f>IF(OR(B452="",C452=""),"",IFERROR(IF(MAXIFS($C$4:C451,$B$4:B451,B452)=0,"",C452-MAXIFS($C$4:C451,$B$4:B451,B452)),""))</f>
        <v/>
      </c>
      <c r="H452" s="56">
        <f>IF(OR(G452="",G452=0,D452=""),"",D452/G452*100)</f>
        <v/>
      </c>
      <c r="I452" s="57">
        <f>IF(OR(G452="",G452=0,F452=""),"",F452/G452)</f>
        <v/>
      </c>
      <c r="J452" s="38" t="n"/>
      <c r="K452" s="38" t="n"/>
      <c r="L452" s="38" t="n"/>
    </row>
    <row r="453">
      <c r="A453" s="33" t="n"/>
      <c r="B453" s="32" t="n"/>
      <c r="C453" s="41" t="n"/>
      <c r="D453" s="58" t="n"/>
      <c r="E453" s="59" t="n"/>
      <c r="F453" s="55">
        <f>IF(OR(D453="",E453=""),"",D453*E453)</f>
        <v/>
      </c>
      <c r="G453" s="48">
        <f>IF(OR(B453="",C453=""),"",IFERROR(IF(MAXIFS($C$4:C452,$B$4:B452,B453)=0,"",C453-MAXIFS($C$4:C452,$B$4:B452,B453)),""))</f>
        <v/>
      </c>
      <c r="H453" s="56">
        <f>IF(OR(G453="",G453=0,D453=""),"",D453/G453*100)</f>
        <v/>
      </c>
      <c r="I453" s="57">
        <f>IF(OR(G453="",G453=0,F453=""),"",F453/G453)</f>
        <v/>
      </c>
      <c r="J453" s="40" t="n"/>
      <c r="K453" s="40" t="n"/>
      <c r="L453" s="40" t="n"/>
    </row>
    <row r="454">
      <c r="A454" s="35" t="n"/>
      <c r="B454" s="34" t="n"/>
      <c r="C454" s="39" t="n"/>
      <c r="D454" s="53" t="n"/>
      <c r="E454" s="54" t="n"/>
      <c r="F454" s="55">
        <f>IF(OR(D454="",E454=""),"",D454*E454)</f>
        <v/>
      </c>
      <c r="G454" s="48">
        <f>IF(OR(B454="",C454=""),"",IFERROR(IF(MAXIFS($C$4:C453,$B$4:B453,B454)=0,"",C454-MAXIFS($C$4:C453,$B$4:B453,B454)),""))</f>
        <v/>
      </c>
      <c r="H454" s="56">
        <f>IF(OR(G454="",G454=0,D454=""),"",D454/G454*100)</f>
        <v/>
      </c>
      <c r="I454" s="57">
        <f>IF(OR(G454="",G454=0,F454=""),"",F454/G454)</f>
        <v/>
      </c>
      <c r="J454" s="38" t="n"/>
      <c r="K454" s="38" t="n"/>
      <c r="L454" s="38" t="n"/>
    </row>
    <row r="455">
      <c r="A455" s="33" t="n"/>
      <c r="B455" s="32" t="n"/>
      <c r="C455" s="41" t="n"/>
      <c r="D455" s="58" t="n"/>
      <c r="E455" s="59" t="n"/>
      <c r="F455" s="55">
        <f>IF(OR(D455="",E455=""),"",D455*E455)</f>
        <v/>
      </c>
      <c r="G455" s="48">
        <f>IF(OR(B455="",C455=""),"",IFERROR(IF(MAXIFS($C$4:C454,$B$4:B454,B455)=0,"",C455-MAXIFS($C$4:C454,$B$4:B454,B455)),""))</f>
        <v/>
      </c>
      <c r="H455" s="56">
        <f>IF(OR(G455="",G455=0,D455=""),"",D455/G455*100)</f>
        <v/>
      </c>
      <c r="I455" s="57">
        <f>IF(OR(G455="",G455=0,F455=""),"",F455/G455)</f>
        <v/>
      </c>
      <c r="J455" s="40" t="n"/>
      <c r="K455" s="40" t="n"/>
      <c r="L455" s="40" t="n"/>
    </row>
    <row r="456">
      <c r="A456" s="35" t="n"/>
      <c r="B456" s="34" t="n"/>
      <c r="C456" s="39" t="n"/>
      <c r="D456" s="53" t="n"/>
      <c r="E456" s="54" t="n"/>
      <c r="F456" s="55">
        <f>IF(OR(D456="",E456=""),"",D456*E456)</f>
        <v/>
      </c>
      <c r="G456" s="48">
        <f>IF(OR(B456="",C456=""),"",IFERROR(IF(MAXIFS($C$4:C455,$B$4:B455,B456)=0,"",C456-MAXIFS($C$4:C455,$B$4:B455,B456)),""))</f>
        <v/>
      </c>
      <c r="H456" s="56">
        <f>IF(OR(G456="",G456=0,D456=""),"",D456/G456*100)</f>
        <v/>
      </c>
      <c r="I456" s="57">
        <f>IF(OR(G456="",G456=0,F456=""),"",F456/G456)</f>
        <v/>
      </c>
      <c r="J456" s="38" t="n"/>
      <c r="K456" s="38" t="n"/>
      <c r="L456" s="38" t="n"/>
    </row>
    <row r="457">
      <c r="A457" s="33" t="n"/>
      <c r="B457" s="32" t="n"/>
      <c r="C457" s="41" t="n"/>
      <c r="D457" s="58" t="n"/>
      <c r="E457" s="59" t="n"/>
      <c r="F457" s="55">
        <f>IF(OR(D457="",E457=""),"",D457*E457)</f>
        <v/>
      </c>
      <c r="G457" s="48">
        <f>IF(OR(B457="",C457=""),"",IFERROR(IF(MAXIFS($C$4:C456,$B$4:B456,B457)=0,"",C457-MAXIFS($C$4:C456,$B$4:B456,B457)),""))</f>
        <v/>
      </c>
      <c r="H457" s="56">
        <f>IF(OR(G457="",G457=0,D457=""),"",D457/G457*100)</f>
        <v/>
      </c>
      <c r="I457" s="57">
        <f>IF(OR(G457="",G457=0,F457=""),"",F457/G457)</f>
        <v/>
      </c>
      <c r="J457" s="40" t="n"/>
      <c r="K457" s="40" t="n"/>
      <c r="L457" s="40" t="n"/>
    </row>
    <row r="458">
      <c r="A458" s="35" t="n"/>
      <c r="B458" s="34" t="n"/>
      <c r="C458" s="39" t="n"/>
      <c r="D458" s="53" t="n"/>
      <c r="E458" s="54" t="n"/>
      <c r="F458" s="55">
        <f>IF(OR(D458="",E458=""),"",D458*E458)</f>
        <v/>
      </c>
      <c r="G458" s="48">
        <f>IF(OR(B458="",C458=""),"",IFERROR(IF(MAXIFS($C$4:C457,$B$4:B457,B458)=0,"",C458-MAXIFS($C$4:C457,$B$4:B457,B458)),""))</f>
        <v/>
      </c>
      <c r="H458" s="56">
        <f>IF(OR(G458="",G458=0,D458=""),"",D458/G458*100)</f>
        <v/>
      </c>
      <c r="I458" s="57">
        <f>IF(OR(G458="",G458=0,F458=""),"",F458/G458)</f>
        <v/>
      </c>
      <c r="J458" s="38" t="n"/>
      <c r="K458" s="38" t="n"/>
      <c r="L458" s="38" t="n"/>
    </row>
    <row r="459">
      <c r="A459" s="33" t="n"/>
      <c r="B459" s="32" t="n"/>
      <c r="C459" s="41" t="n"/>
      <c r="D459" s="58" t="n"/>
      <c r="E459" s="59" t="n"/>
      <c r="F459" s="55">
        <f>IF(OR(D459="",E459=""),"",D459*E459)</f>
        <v/>
      </c>
      <c r="G459" s="48">
        <f>IF(OR(B459="",C459=""),"",IFERROR(IF(MAXIFS($C$4:C458,$B$4:B458,B459)=0,"",C459-MAXIFS($C$4:C458,$B$4:B458,B459)),""))</f>
        <v/>
      </c>
      <c r="H459" s="56">
        <f>IF(OR(G459="",G459=0,D459=""),"",D459/G459*100)</f>
        <v/>
      </c>
      <c r="I459" s="57">
        <f>IF(OR(G459="",G459=0,F459=""),"",F459/G459)</f>
        <v/>
      </c>
      <c r="J459" s="40" t="n"/>
      <c r="K459" s="40" t="n"/>
      <c r="L459" s="40" t="n"/>
    </row>
    <row r="460">
      <c r="A460" s="35" t="n"/>
      <c r="B460" s="34" t="n"/>
      <c r="C460" s="39" t="n"/>
      <c r="D460" s="53" t="n"/>
      <c r="E460" s="54" t="n"/>
      <c r="F460" s="55">
        <f>IF(OR(D460="",E460=""),"",D460*E460)</f>
        <v/>
      </c>
      <c r="G460" s="48">
        <f>IF(OR(B460="",C460=""),"",IFERROR(IF(MAXIFS($C$4:C459,$B$4:B459,B460)=0,"",C460-MAXIFS($C$4:C459,$B$4:B459,B460)),""))</f>
        <v/>
      </c>
      <c r="H460" s="56">
        <f>IF(OR(G460="",G460=0,D460=""),"",D460/G460*100)</f>
        <v/>
      </c>
      <c r="I460" s="57">
        <f>IF(OR(G460="",G460=0,F460=""),"",F460/G460)</f>
        <v/>
      </c>
      <c r="J460" s="38" t="n"/>
      <c r="K460" s="38" t="n"/>
      <c r="L460" s="38" t="n"/>
    </row>
    <row r="461">
      <c r="A461" s="33" t="n"/>
      <c r="B461" s="32" t="n"/>
      <c r="C461" s="41" t="n"/>
      <c r="D461" s="58" t="n"/>
      <c r="E461" s="59" t="n"/>
      <c r="F461" s="55">
        <f>IF(OR(D461="",E461=""),"",D461*E461)</f>
        <v/>
      </c>
      <c r="G461" s="48">
        <f>IF(OR(B461="",C461=""),"",IFERROR(IF(MAXIFS($C$4:C460,$B$4:B460,B461)=0,"",C461-MAXIFS($C$4:C460,$B$4:B460,B461)),""))</f>
        <v/>
      </c>
      <c r="H461" s="56">
        <f>IF(OR(G461="",G461=0,D461=""),"",D461/G461*100)</f>
        <v/>
      </c>
      <c r="I461" s="57">
        <f>IF(OR(G461="",G461=0,F461=""),"",F461/G461)</f>
        <v/>
      </c>
      <c r="J461" s="40" t="n"/>
      <c r="K461" s="40" t="n"/>
      <c r="L461" s="40" t="n"/>
    </row>
    <row r="462">
      <c r="A462" s="35" t="n"/>
      <c r="B462" s="34" t="n"/>
      <c r="C462" s="39" t="n"/>
      <c r="D462" s="53" t="n"/>
      <c r="E462" s="54" t="n"/>
      <c r="F462" s="55">
        <f>IF(OR(D462="",E462=""),"",D462*E462)</f>
        <v/>
      </c>
      <c r="G462" s="48">
        <f>IF(OR(B462="",C462=""),"",IFERROR(IF(MAXIFS($C$4:C461,$B$4:B461,B462)=0,"",C462-MAXIFS($C$4:C461,$B$4:B461,B462)),""))</f>
        <v/>
      </c>
      <c r="H462" s="56">
        <f>IF(OR(G462="",G462=0,D462=""),"",D462/G462*100)</f>
        <v/>
      </c>
      <c r="I462" s="57">
        <f>IF(OR(G462="",G462=0,F462=""),"",F462/G462)</f>
        <v/>
      </c>
      <c r="J462" s="38" t="n"/>
      <c r="K462" s="38" t="n"/>
      <c r="L462" s="38" t="n"/>
    </row>
    <row r="463">
      <c r="A463" s="33" t="n"/>
      <c r="B463" s="32" t="n"/>
      <c r="C463" s="41" t="n"/>
      <c r="D463" s="58" t="n"/>
      <c r="E463" s="59" t="n"/>
      <c r="F463" s="55">
        <f>IF(OR(D463="",E463=""),"",D463*E463)</f>
        <v/>
      </c>
      <c r="G463" s="48">
        <f>IF(OR(B463="",C463=""),"",IFERROR(IF(MAXIFS($C$4:C462,$B$4:B462,B463)=0,"",C463-MAXIFS($C$4:C462,$B$4:B462,B463)),""))</f>
        <v/>
      </c>
      <c r="H463" s="56">
        <f>IF(OR(G463="",G463=0,D463=""),"",D463/G463*100)</f>
        <v/>
      </c>
      <c r="I463" s="57">
        <f>IF(OR(G463="",G463=0,F463=""),"",F463/G463)</f>
        <v/>
      </c>
      <c r="J463" s="40" t="n"/>
      <c r="K463" s="40" t="n"/>
      <c r="L463" s="40" t="n"/>
    </row>
    <row r="464">
      <c r="A464" s="35" t="n"/>
      <c r="B464" s="34" t="n"/>
      <c r="C464" s="39" t="n"/>
      <c r="D464" s="53" t="n"/>
      <c r="E464" s="54" t="n"/>
      <c r="F464" s="55">
        <f>IF(OR(D464="",E464=""),"",D464*E464)</f>
        <v/>
      </c>
      <c r="G464" s="48">
        <f>IF(OR(B464="",C464=""),"",IFERROR(IF(MAXIFS($C$4:C463,$B$4:B463,B464)=0,"",C464-MAXIFS($C$4:C463,$B$4:B463,B464)),""))</f>
        <v/>
      </c>
      <c r="H464" s="56">
        <f>IF(OR(G464="",G464=0,D464=""),"",D464/G464*100)</f>
        <v/>
      </c>
      <c r="I464" s="57">
        <f>IF(OR(G464="",G464=0,F464=""),"",F464/G464)</f>
        <v/>
      </c>
      <c r="J464" s="38" t="n"/>
      <c r="K464" s="38" t="n"/>
      <c r="L464" s="38" t="n"/>
    </row>
    <row r="465">
      <c r="A465" s="33" t="n"/>
      <c r="B465" s="32" t="n"/>
      <c r="C465" s="41" t="n"/>
      <c r="D465" s="58" t="n"/>
      <c r="E465" s="59" t="n"/>
      <c r="F465" s="55">
        <f>IF(OR(D465="",E465=""),"",D465*E465)</f>
        <v/>
      </c>
      <c r="G465" s="48">
        <f>IF(OR(B465="",C465=""),"",IFERROR(IF(MAXIFS($C$4:C464,$B$4:B464,B465)=0,"",C465-MAXIFS($C$4:C464,$B$4:B464,B465)),""))</f>
        <v/>
      </c>
      <c r="H465" s="56">
        <f>IF(OR(G465="",G465=0,D465=""),"",D465/G465*100)</f>
        <v/>
      </c>
      <c r="I465" s="57">
        <f>IF(OR(G465="",G465=0,F465=""),"",F465/G465)</f>
        <v/>
      </c>
      <c r="J465" s="40" t="n"/>
      <c r="K465" s="40" t="n"/>
      <c r="L465" s="40" t="n"/>
    </row>
    <row r="466">
      <c r="A466" s="35" t="n"/>
      <c r="B466" s="34" t="n"/>
      <c r="C466" s="39" t="n"/>
      <c r="D466" s="53" t="n"/>
      <c r="E466" s="54" t="n"/>
      <c r="F466" s="55">
        <f>IF(OR(D466="",E466=""),"",D466*E466)</f>
        <v/>
      </c>
      <c r="G466" s="48">
        <f>IF(OR(B466="",C466=""),"",IFERROR(IF(MAXIFS($C$4:C465,$B$4:B465,B466)=0,"",C466-MAXIFS($C$4:C465,$B$4:B465,B466)),""))</f>
        <v/>
      </c>
      <c r="H466" s="56">
        <f>IF(OR(G466="",G466=0,D466=""),"",D466/G466*100)</f>
        <v/>
      </c>
      <c r="I466" s="57">
        <f>IF(OR(G466="",G466=0,F466=""),"",F466/G466)</f>
        <v/>
      </c>
      <c r="J466" s="38" t="n"/>
      <c r="K466" s="38" t="n"/>
      <c r="L466" s="38" t="n"/>
    </row>
    <row r="467">
      <c r="A467" s="33" t="n"/>
      <c r="B467" s="32" t="n"/>
      <c r="C467" s="41" t="n"/>
      <c r="D467" s="58" t="n"/>
      <c r="E467" s="59" t="n"/>
      <c r="F467" s="55">
        <f>IF(OR(D467="",E467=""),"",D467*E467)</f>
        <v/>
      </c>
      <c r="G467" s="48">
        <f>IF(OR(B467="",C467=""),"",IFERROR(IF(MAXIFS($C$4:C466,$B$4:B466,B467)=0,"",C467-MAXIFS($C$4:C466,$B$4:B466,B467)),""))</f>
        <v/>
      </c>
      <c r="H467" s="56">
        <f>IF(OR(G467="",G467=0,D467=""),"",D467/G467*100)</f>
        <v/>
      </c>
      <c r="I467" s="57">
        <f>IF(OR(G467="",G467=0,F467=""),"",F467/G467)</f>
        <v/>
      </c>
      <c r="J467" s="40" t="n"/>
      <c r="K467" s="40" t="n"/>
      <c r="L467" s="40" t="n"/>
    </row>
    <row r="468">
      <c r="A468" s="35" t="n"/>
      <c r="B468" s="34" t="n"/>
      <c r="C468" s="39" t="n"/>
      <c r="D468" s="53" t="n"/>
      <c r="E468" s="54" t="n"/>
      <c r="F468" s="55">
        <f>IF(OR(D468="",E468=""),"",D468*E468)</f>
        <v/>
      </c>
      <c r="G468" s="48">
        <f>IF(OR(B468="",C468=""),"",IFERROR(IF(MAXIFS($C$4:C467,$B$4:B467,B468)=0,"",C468-MAXIFS($C$4:C467,$B$4:B467,B468)),""))</f>
        <v/>
      </c>
      <c r="H468" s="56">
        <f>IF(OR(G468="",G468=0,D468=""),"",D468/G468*100)</f>
        <v/>
      </c>
      <c r="I468" s="57">
        <f>IF(OR(G468="",G468=0,F468=""),"",F468/G468)</f>
        <v/>
      </c>
      <c r="J468" s="38" t="n"/>
      <c r="K468" s="38" t="n"/>
      <c r="L468" s="38" t="n"/>
    </row>
    <row r="469">
      <c r="A469" s="33" t="n"/>
      <c r="B469" s="32" t="n"/>
      <c r="C469" s="41" t="n"/>
      <c r="D469" s="58" t="n"/>
      <c r="E469" s="59" t="n"/>
      <c r="F469" s="55">
        <f>IF(OR(D469="",E469=""),"",D469*E469)</f>
        <v/>
      </c>
      <c r="G469" s="48">
        <f>IF(OR(B469="",C469=""),"",IFERROR(IF(MAXIFS($C$4:C468,$B$4:B468,B469)=0,"",C469-MAXIFS($C$4:C468,$B$4:B468,B469)),""))</f>
        <v/>
      </c>
      <c r="H469" s="56">
        <f>IF(OR(G469="",G469=0,D469=""),"",D469/G469*100)</f>
        <v/>
      </c>
      <c r="I469" s="57">
        <f>IF(OR(G469="",G469=0,F469=""),"",F469/G469)</f>
        <v/>
      </c>
      <c r="J469" s="40" t="n"/>
      <c r="K469" s="40" t="n"/>
      <c r="L469" s="40" t="n"/>
    </row>
    <row r="470">
      <c r="A470" s="35" t="n"/>
      <c r="B470" s="34" t="n"/>
      <c r="C470" s="39" t="n"/>
      <c r="D470" s="53" t="n"/>
      <c r="E470" s="54" t="n"/>
      <c r="F470" s="55">
        <f>IF(OR(D470="",E470=""),"",D470*E470)</f>
        <v/>
      </c>
      <c r="G470" s="48">
        <f>IF(OR(B470="",C470=""),"",IFERROR(IF(MAXIFS($C$4:C469,$B$4:B469,B470)=0,"",C470-MAXIFS($C$4:C469,$B$4:B469,B470)),""))</f>
        <v/>
      </c>
      <c r="H470" s="56">
        <f>IF(OR(G470="",G470=0,D470=""),"",D470/G470*100)</f>
        <v/>
      </c>
      <c r="I470" s="57">
        <f>IF(OR(G470="",G470=0,F470=""),"",F470/G470)</f>
        <v/>
      </c>
      <c r="J470" s="38" t="n"/>
      <c r="K470" s="38" t="n"/>
      <c r="L470" s="38" t="n"/>
    </row>
    <row r="471">
      <c r="A471" s="33" t="n"/>
      <c r="B471" s="32" t="n"/>
      <c r="C471" s="41" t="n"/>
      <c r="D471" s="58" t="n"/>
      <c r="E471" s="59" t="n"/>
      <c r="F471" s="55">
        <f>IF(OR(D471="",E471=""),"",D471*E471)</f>
        <v/>
      </c>
      <c r="G471" s="48">
        <f>IF(OR(B471="",C471=""),"",IFERROR(IF(MAXIFS($C$4:C470,$B$4:B470,B471)=0,"",C471-MAXIFS($C$4:C470,$B$4:B470,B471)),""))</f>
        <v/>
      </c>
      <c r="H471" s="56">
        <f>IF(OR(G471="",G471=0,D471=""),"",D471/G471*100)</f>
        <v/>
      </c>
      <c r="I471" s="57">
        <f>IF(OR(G471="",G471=0,F471=""),"",F471/G471)</f>
        <v/>
      </c>
      <c r="J471" s="40" t="n"/>
      <c r="K471" s="40" t="n"/>
      <c r="L471" s="40" t="n"/>
    </row>
    <row r="472">
      <c r="A472" s="35" t="n"/>
      <c r="B472" s="34" t="n"/>
      <c r="C472" s="39" t="n"/>
      <c r="D472" s="53" t="n"/>
      <c r="E472" s="54" t="n"/>
      <c r="F472" s="55">
        <f>IF(OR(D472="",E472=""),"",D472*E472)</f>
        <v/>
      </c>
      <c r="G472" s="48">
        <f>IF(OR(B472="",C472=""),"",IFERROR(IF(MAXIFS($C$4:C471,$B$4:B471,B472)=0,"",C472-MAXIFS($C$4:C471,$B$4:B471,B472)),""))</f>
        <v/>
      </c>
      <c r="H472" s="56">
        <f>IF(OR(G472="",G472=0,D472=""),"",D472/G472*100)</f>
        <v/>
      </c>
      <c r="I472" s="57">
        <f>IF(OR(G472="",G472=0,F472=""),"",F472/G472)</f>
        <v/>
      </c>
      <c r="J472" s="38" t="n"/>
      <c r="K472" s="38" t="n"/>
      <c r="L472" s="38" t="n"/>
    </row>
    <row r="473">
      <c r="A473" s="33" t="n"/>
      <c r="B473" s="32" t="n"/>
      <c r="C473" s="41" t="n"/>
      <c r="D473" s="58" t="n"/>
      <c r="E473" s="59" t="n"/>
      <c r="F473" s="55">
        <f>IF(OR(D473="",E473=""),"",D473*E473)</f>
        <v/>
      </c>
      <c r="G473" s="48">
        <f>IF(OR(B473="",C473=""),"",IFERROR(IF(MAXIFS($C$4:C472,$B$4:B472,B473)=0,"",C473-MAXIFS($C$4:C472,$B$4:B472,B473)),""))</f>
        <v/>
      </c>
      <c r="H473" s="56">
        <f>IF(OR(G473="",G473=0,D473=""),"",D473/G473*100)</f>
        <v/>
      </c>
      <c r="I473" s="57">
        <f>IF(OR(G473="",G473=0,F473=""),"",F473/G473)</f>
        <v/>
      </c>
      <c r="J473" s="40" t="n"/>
      <c r="K473" s="40" t="n"/>
      <c r="L473" s="40" t="n"/>
    </row>
    <row r="474">
      <c r="A474" s="35" t="n"/>
      <c r="B474" s="34" t="n"/>
      <c r="C474" s="39" t="n"/>
      <c r="D474" s="53" t="n"/>
      <c r="E474" s="54" t="n"/>
      <c r="F474" s="55">
        <f>IF(OR(D474="",E474=""),"",D474*E474)</f>
        <v/>
      </c>
      <c r="G474" s="48">
        <f>IF(OR(B474="",C474=""),"",IFERROR(IF(MAXIFS($C$4:C473,$B$4:B473,B474)=0,"",C474-MAXIFS($C$4:C473,$B$4:B473,B474)),""))</f>
        <v/>
      </c>
      <c r="H474" s="56">
        <f>IF(OR(G474="",G474=0,D474=""),"",D474/G474*100)</f>
        <v/>
      </c>
      <c r="I474" s="57">
        <f>IF(OR(G474="",G474=0,F474=""),"",F474/G474)</f>
        <v/>
      </c>
      <c r="J474" s="38" t="n"/>
      <c r="K474" s="38" t="n"/>
      <c r="L474" s="38" t="n"/>
    </row>
    <row r="475">
      <c r="A475" s="33" t="n"/>
      <c r="B475" s="32" t="n"/>
      <c r="C475" s="41" t="n"/>
      <c r="D475" s="58" t="n"/>
      <c r="E475" s="59" t="n"/>
      <c r="F475" s="55">
        <f>IF(OR(D475="",E475=""),"",D475*E475)</f>
        <v/>
      </c>
      <c r="G475" s="48">
        <f>IF(OR(B475="",C475=""),"",IFERROR(IF(MAXIFS($C$4:C474,$B$4:B474,B475)=0,"",C475-MAXIFS($C$4:C474,$B$4:B474,B475)),""))</f>
        <v/>
      </c>
      <c r="H475" s="56">
        <f>IF(OR(G475="",G475=0,D475=""),"",D475/G475*100)</f>
        <v/>
      </c>
      <c r="I475" s="57">
        <f>IF(OR(G475="",G475=0,F475=""),"",F475/G475)</f>
        <v/>
      </c>
      <c r="J475" s="40" t="n"/>
      <c r="K475" s="40" t="n"/>
      <c r="L475" s="40" t="n"/>
    </row>
    <row r="476">
      <c r="A476" s="35" t="n"/>
      <c r="B476" s="34" t="n"/>
      <c r="C476" s="39" t="n"/>
      <c r="D476" s="53" t="n"/>
      <c r="E476" s="54" t="n"/>
      <c r="F476" s="55">
        <f>IF(OR(D476="",E476=""),"",D476*E476)</f>
        <v/>
      </c>
      <c r="G476" s="48">
        <f>IF(OR(B476="",C476=""),"",IFERROR(IF(MAXIFS($C$4:C475,$B$4:B475,B476)=0,"",C476-MAXIFS($C$4:C475,$B$4:B475,B476)),""))</f>
        <v/>
      </c>
      <c r="H476" s="56">
        <f>IF(OR(G476="",G476=0,D476=""),"",D476/G476*100)</f>
        <v/>
      </c>
      <c r="I476" s="57">
        <f>IF(OR(G476="",G476=0,F476=""),"",F476/G476)</f>
        <v/>
      </c>
      <c r="J476" s="38" t="n"/>
      <c r="K476" s="38" t="n"/>
      <c r="L476" s="38" t="n"/>
    </row>
    <row r="477">
      <c r="A477" s="33" t="n"/>
      <c r="B477" s="32" t="n"/>
      <c r="C477" s="41" t="n"/>
      <c r="D477" s="58" t="n"/>
      <c r="E477" s="59" t="n"/>
      <c r="F477" s="55">
        <f>IF(OR(D477="",E477=""),"",D477*E477)</f>
        <v/>
      </c>
      <c r="G477" s="48">
        <f>IF(OR(B477="",C477=""),"",IFERROR(IF(MAXIFS($C$4:C476,$B$4:B476,B477)=0,"",C477-MAXIFS($C$4:C476,$B$4:B476,B477)),""))</f>
        <v/>
      </c>
      <c r="H477" s="56">
        <f>IF(OR(G477="",G477=0,D477=""),"",D477/G477*100)</f>
        <v/>
      </c>
      <c r="I477" s="57">
        <f>IF(OR(G477="",G477=0,F477=""),"",F477/G477)</f>
        <v/>
      </c>
      <c r="J477" s="40" t="n"/>
      <c r="K477" s="40" t="n"/>
      <c r="L477" s="40" t="n"/>
    </row>
    <row r="478">
      <c r="A478" s="35" t="n"/>
      <c r="B478" s="34" t="n"/>
      <c r="C478" s="39" t="n"/>
      <c r="D478" s="53" t="n"/>
      <c r="E478" s="54" t="n"/>
      <c r="F478" s="55">
        <f>IF(OR(D478="",E478=""),"",D478*E478)</f>
        <v/>
      </c>
      <c r="G478" s="48">
        <f>IF(OR(B478="",C478=""),"",IFERROR(IF(MAXIFS($C$4:C477,$B$4:B477,B478)=0,"",C478-MAXIFS($C$4:C477,$B$4:B477,B478)),""))</f>
        <v/>
      </c>
      <c r="H478" s="56">
        <f>IF(OR(G478="",G478=0,D478=""),"",D478/G478*100)</f>
        <v/>
      </c>
      <c r="I478" s="57">
        <f>IF(OR(G478="",G478=0,F478=""),"",F478/G478)</f>
        <v/>
      </c>
      <c r="J478" s="38" t="n"/>
      <c r="K478" s="38" t="n"/>
      <c r="L478" s="38" t="n"/>
    </row>
    <row r="479">
      <c r="A479" s="33" t="n"/>
      <c r="B479" s="32" t="n"/>
      <c r="C479" s="41" t="n"/>
      <c r="D479" s="58" t="n"/>
      <c r="E479" s="59" t="n"/>
      <c r="F479" s="55">
        <f>IF(OR(D479="",E479=""),"",D479*E479)</f>
        <v/>
      </c>
      <c r="G479" s="48">
        <f>IF(OR(B479="",C479=""),"",IFERROR(IF(MAXIFS($C$4:C478,$B$4:B478,B479)=0,"",C479-MAXIFS($C$4:C478,$B$4:B478,B479)),""))</f>
        <v/>
      </c>
      <c r="H479" s="56">
        <f>IF(OR(G479="",G479=0,D479=""),"",D479/G479*100)</f>
        <v/>
      </c>
      <c r="I479" s="57">
        <f>IF(OR(G479="",G479=0,F479=""),"",F479/G479)</f>
        <v/>
      </c>
      <c r="J479" s="40" t="n"/>
      <c r="K479" s="40" t="n"/>
      <c r="L479" s="40" t="n"/>
    </row>
    <row r="480">
      <c r="A480" s="35" t="n"/>
      <c r="B480" s="34" t="n"/>
      <c r="C480" s="39" t="n"/>
      <c r="D480" s="53" t="n"/>
      <c r="E480" s="54" t="n"/>
      <c r="F480" s="55">
        <f>IF(OR(D480="",E480=""),"",D480*E480)</f>
        <v/>
      </c>
      <c r="G480" s="48">
        <f>IF(OR(B480="",C480=""),"",IFERROR(IF(MAXIFS($C$4:C479,$B$4:B479,B480)=0,"",C480-MAXIFS($C$4:C479,$B$4:B479,B480)),""))</f>
        <v/>
      </c>
      <c r="H480" s="56">
        <f>IF(OR(G480="",G480=0,D480=""),"",D480/G480*100)</f>
        <v/>
      </c>
      <c r="I480" s="57">
        <f>IF(OR(G480="",G480=0,F480=""),"",F480/G480)</f>
        <v/>
      </c>
      <c r="J480" s="38" t="n"/>
      <c r="K480" s="38" t="n"/>
      <c r="L480" s="38" t="n"/>
    </row>
    <row r="481">
      <c r="A481" s="33" t="n"/>
      <c r="B481" s="32" t="n"/>
      <c r="C481" s="41" t="n"/>
      <c r="D481" s="58" t="n"/>
      <c r="E481" s="59" t="n"/>
      <c r="F481" s="55">
        <f>IF(OR(D481="",E481=""),"",D481*E481)</f>
        <v/>
      </c>
      <c r="G481" s="48">
        <f>IF(OR(B481="",C481=""),"",IFERROR(IF(MAXIFS($C$4:C480,$B$4:B480,B481)=0,"",C481-MAXIFS($C$4:C480,$B$4:B480,B481)),""))</f>
        <v/>
      </c>
      <c r="H481" s="56">
        <f>IF(OR(G481="",G481=0,D481=""),"",D481/G481*100)</f>
        <v/>
      </c>
      <c r="I481" s="57">
        <f>IF(OR(G481="",G481=0,F481=""),"",F481/G481)</f>
        <v/>
      </c>
      <c r="J481" s="40" t="n"/>
      <c r="K481" s="40" t="n"/>
      <c r="L481" s="40" t="n"/>
    </row>
    <row r="482">
      <c r="A482" s="35" t="n"/>
      <c r="B482" s="34" t="n"/>
      <c r="C482" s="39" t="n"/>
      <c r="D482" s="53" t="n"/>
      <c r="E482" s="54" t="n"/>
      <c r="F482" s="55">
        <f>IF(OR(D482="",E482=""),"",D482*E482)</f>
        <v/>
      </c>
      <c r="G482" s="48">
        <f>IF(OR(B482="",C482=""),"",IFERROR(IF(MAXIFS($C$4:C481,$B$4:B481,B482)=0,"",C482-MAXIFS($C$4:C481,$B$4:B481,B482)),""))</f>
        <v/>
      </c>
      <c r="H482" s="56">
        <f>IF(OR(G482="",G482=0,D482=""),"",D482/G482*100)</f>
        <v/>
      </c>
      <c r="I482" s="57">
        <f>IF(OR(G482="",G482=0,F482=""),"",F482/G482)</f>
        <v/>
      </c>
      <c r="J482" s="38" t="n"/>
      <c r="K482" s="38" t="n"/>
      <c r="L482" s="38" t="n"/>
    </row>
    <row r="483">
      <c r="A483" s="33" t="n"/>
      <c r="B483" s="32" t="n"/>
      <c r="C483" s="41" t="n"/>
      <c r="D483" s="58" t="n"/>
      <c r="E483" s="59" t="n"/>
      <c r="F483" s="55">
        <f>IF(OR(D483="",E483=""),"",D483*E483)</f>
        <v/>
      </c>
      <c r="G483" s="48">
        <f>IF(OR(B483="",C483=""),"",IFERROR(IF(MAXIFS($C$4:C482,$B$4:B482,B483)=0,"",C483-MAXIFS($C$4:C482,$B$4:B482,B483)),""))</f>
        <v/>
      </c>
      <c r="H483" s="56">
        <f>IF(OR(G483="",G483=0,D483=""),"",D483/G483*100)</f>
        <v/>
      </c>
      <c r="I483" s="57">
        <f>IF(OR(G483="",G483=0,F483=""),"",F483/G483)</f>
        <v/>
      </c>
      <c r="J483" s="40" t="n"/>
      <c r="K483" s="40" t="n"/>
      <c r="L483" s="40" t="n"/>
    </row>
    <row r="484">
      <c r="A484" s="35" t="n"/>
      <c r="B484" s="34" t="n"/>
      <c r="C484" s="39" t="n"/>
      <c r="D484" s="53" t="n"/>
      <c r="E484" s="54" t="n"/>
      <c r="F484" s="55">
        <f>IF(OR(D484="",E484=""),"",D484*E484)</f>
        <v/>
      </c>
      <c r="G484" s="48">
        <f>IF(OR(B484="",C484=""),"",IFERROR(IF(MAXIFS($C$4:C483,$B$4:B483,B484)=0,"",C484-MAXIFS($C$4:C483,$B$4:B483,B484)),""))</f>
        <v/>
      </c>
      <c r="H484" s="56">
        <f>IF(OR(G484="",G484=0,D484=""),"",D484/G484*100)</f>
        <v/>
      </c>
      <c r="I484" s="57">
        <f>IF(OR(G484="",G484=0,F484=""),"",F484/G484)</f>
        <v/>
      </c>
      <c r="J484" s="38" t="n"/>
      <c r="K484" s="38" t="n"/>
      <c r="L484" s="38" t="n"/>
    </row>
    <row r="485">
      <c r="A485" s="33" t="n"/>
      <c r="B485" s="32" t="n"/>
      <c r="C485" s="41" t="n"/>
      <c r="D485" s="58" t="n"/>
      <c r="E485" s="59" t="n"/>
      <c r="F485" s="55">
        <f>IF(OR(D485="",E485=""),"",D485*E485)</f>
        <v/>
      </c>
      <c r="G485" s="48">
        <f>IF(OR(B485="",C485=""),"",IFERROR(IF(MAXIFS($C$4:C484,$B$4:B484,B485)=0,"",C485-MAXIFS($C$4:C484,$B$4:B484,B485)),""))</f>
        <v/>
      </c>
      <c r="H485" s="56">
        <f>IF(OR(G485="",G485=0,D485=""),"",D485/G485*100)</f>
        <v/>
      </c>
      <c r="I485" s="57">
        <f>IF(OR(G485="",G485=0,F485=""),"",F485/G485)</f>
        <v/>
      </c>
      <c r="J485" s="40" t="n"/>
      <c r="K485" s="40" t="n"/>
      <c r="L485" s="40" t="n"/>
    </row>
    <row r="486">
      <c r="A486" s="35" t="n"/>
      <c r="B486" s="34" t="n"/>
      <c r="C486" s="39" t="n"/>
      <c r="D486" s="53" t="n"/>
      <c r="E486" s="54" t="n"/>
      <c r="F486" s="55">
        <f>IF(OR(D486="",E486=""),"",D486*E486)</f>
        <v/>
      </c>
      <c r="G486" s="48">
        <f>IF(OR(B486="",C486=""),"",IFERROR(IF(MAXIFS($C$4:C485,$B$4:B485,B486)=0,"",C486-MAXIFS($C$4:C485,$B$4:B485,B486)),""))</f>
        <v/>
      </c>
      <c r="H486" s="56">
        <f>IF(OR(G486="",G486=0,D486=""),"",D486/G486*100)</f>
        <v/>
      </c>
      <c r="I486" s="57">
        <f>IF(OR(G486="",G486=0,F486=""),"",F486/G486)</f>
        <v/>
      </c>
      <c r="J486" s="38" t="n"/>
      <c r="K486" s="38" t="n"/>
      <c r="L486" s="38" t="n"/>
    </row>
    <row r="487">
      <c r="A487" s="33" t="n"/>
      <c r="B487" s="32" t="n"/>
      <c r="C487" s="41" t="n"/>
      <c r="D487" s="58" t="n"/>
      <c r="E487" s="59" t="n"/>
      <c r="F487" s="55">
        <f>IF(OR(D487="",E487=""),"",D487*E487)</f>
        <v/>
      </c>
      <c r="G487" s="48">
        <f>IF(OR(B487="",C487=""),"",IFERROR(IF(MAXIFS($C$4:C486,$B$4:B486,B487)=0,"",C487-MAXIFS($C$4:C486,$B$4:B486,B487)),""))</f>
        <v/>
      </c>
      <c r="H487" s="56">
        <f>IF(OR(G487="",G487=0,D487=""),"",D487/G487*100)</f>
        <v/>
      </c>
      <c r="I487" s="57">
        <f>IF(OR(G487="",G487=0,F487=""),"",F487/G487)</f>
        <v/>
      </c>
      <c r="J487" s="40" t="n"/>
      <c r="K487" s="40" t="n"/>
      <c r="L487" s="40" t="n"/>
    </row>
    <row r="488">
      <c r="A488" s="35" t="n"/>
      <c r="B488" s="34" t="n"/>
      <c r="C488" s="39" t="n"/>
      <c r="D488" s="53" t="n"/>
      <c r="E488" s="54" t="n"/>
      <c r="F488" s="55">
        <f>IF(OR(D488="",E488=""),"",D488*E488)</f>
        <v/>
      </c>
      <c r="G488" s="48">
        <f>IF(OR(B488="",C488=""),"",IFERROR(IF(MAXIFS($C$4:C487,$B$4:B487,B488)=0,"",C488-MAXIFS($C$4:C487,$B$4:B487,B488)),""))</f>
        <v/>
      </c>
      <c r="H488" s="56">
        <f>IF(OR(G488="",G488=0,D488=""),"",D488/G488*100)</f>
        <v/>
      </c>
      <c r="I488" s="57">
        <f>IF(OR(G488="",G488=0,F488=""),"",F488/G488)</f>
        <v/>
      </c>
      <c r="J488" s="38" t="n"/>
      <c r="K488" s="38" t="n"/>
      <c r="L488" s="38" t="n"/>
    </row>
    <row r="489">
      <c r="A489" s="33" t="n"/>
      <c r="B489" s="32" t="n"/>
      <c r="C489" s="41" t="n"/>
      <c r="D489" s="58" t="n"/>
      <c r="E489" s="59" t="n"/>
      <c r="F489" s="55">
        <f>IF(OR(D489="",E489=""),"",D489*E489)</f>
        <v/>
      </c>
      <c r="G489" s="48">
        <f>IF(OR(B489="",C489=""),"",IFERROR(IF(MAXIFS($C$4:C488,$B$4:B488,B489)=0,"",C489-MAXIFS($C$4:C488,$B$4:B488,B489)),""))</f>
        <v/>
      </c>
      <c r="H489" s="56">
        <f>IF(OR(G489="",G489=0,D489=""),"",D489/G489*100)</f>
        <v/>
      </c>
      <c r="I489" s="57">
        <f>IF(OR(G489="",G489=0,F489=""),"",F489/G489)</f>
        <v/>
      </c>
      <c r="J489" s="40" t="n"/>
      <c r="K489" s="40" t="n"/>
      <c r="L489" s="40" t="n"/>
    </row>
    <row r="490">
      <c r="A490" s="35" t="n"/>
      <c r="B490" s="34" t="n"/>
      <c r="C490" s="39" t="n"/>
      <c r="D490" s="53" t="n"/>
      <c r="E490" s="54" t="n"/>
      <c r="F490" s="55">
        <f>IF(OR(D490="",E490=""),"",D490*E490)</f>
        <v/>
      </c>
      <c r="G490" s="48">
        <f>IF(OR(B490="",C490=""),"",IFERROR(IF(MAXIFS($C$4:C489,$B$4:B489,B490)=0,"",C490-MAXIFS($C$4:C489,$B$4:B489,B490)),""))</f>
        <v/>
      </c>
      <c r="H490" s="56">
        <f>IF(OR(G490="",G490=0,D490=""),"",D490/G490*100)</f>
        <v/>
      </c>
      <c r="I490" s="57">
        <f>IF(OR(G490="",G490=0,F490=""),"",F490/G490)</f>
        <v/>
      </c>
      <c r="J490" s="38" t="n"/>
      <c r="K490" s="38" t="n"/>
      <c r="L490" s="38" t="n"/>
    </row>
    <row r="491">
      <c r="A491" s="33" t="n"/>
      <c r="B491" s="32" t="n"/>
      <c r="C491" s="41" t="n"/>
      <c r="D491" s="58" t="n"/>
      <c r="E491" s="59" t="n"/>
      <c r="F491" s="55">
        <f>IF(OR(D491="",E491=""),"",D491*E491)</f>
        <v/>
      </c>
      <c r="G491" s="48">
        <f>IF(OR(B491="",C491=""),"",IFERROR(IF(MAXIFS($C$4:C490,$B$4:B490,B491)=0,"",C491-MAXIFS($C$4:C490,$B$4:B490,B491)),""))</f>
        <v/>
      </c>
      <c r="H491" s="56">
        <f>IF(OR(G491="",G491=0,D491=""),"",D491/G491*100)</f>
        <v/>
      </c>
      <c r="I491" s="57">
        <f>IF(OR(G491="",G491=0,F491=""),"",F491/G491)</f>
        <v/>
      </c>
      <c r="J491" s="40" t="n"/>
      <c r="K491" s="40" t="n"/>
      <c r="L491" s="40" t="n"/>
    </row>
    <row r="492">
      <c r="A492" s="35" t="n"/>
      <c r="B492" s="34" t="n"/>
      <c r="C492" s="39" t="n"/>
      <c r="D492" s="53" t="n"/>
      <c r="E492" s="54" t="n"/>
      <c r="F492" s="55">
        <f>IF(OR(D492="",E492=""),"",D492*E492)</f>
        <v/>
      </c>
      <c r="G492" s="48">
        <f>IF(OR(B492="",C492=""),"",IFERROR(IF(MAXIFS($C$4:C491,$B$4:B491,B492)=0,"",C492-MAXIFS($C$4:C491,$B$4:B491,B492)),""))</f>
        <v/>
      </c>
      <c r="H492" s="56">
        <f>IF(OR(G492="",G492=0,D492=""),"",D492/G492*100)</f>
        <v/>
      </c>
      <c r="I492" s="57">
        <f>IF(OR(G492="",G492=0,F492=""),"",F492/G492)</f>
        <v/>
      </c>
      <c r="J492" s="38" t="n"/>
      <c r="K492" s="38" t="n"/>
      <c r="L492" s="38" t="n"/>
    </row>
    <row r="493">
      <c r="A493" s="33" t="n"/>
      <c r="B493" s="32" t="n"/>
      <c r="C493" s="41" t="n"/>
      <c r="D493" s="58" t="n"/>
      <c r="E493" s="59" t="n"/>
      <c r="F493" s="55">
        <f>IF(OR(D493="",E493=""),"",D493*E493)</f>
        <v/>
      </c>
      <c r="G493" s="48">
        <f>IF(OR(B493="",C493=""),"",IFERROR(IF(MAXIFS($C$4:C492,$B$4:B492,B493)=0,"",C493-MAXIFS($C$4:C492,$B$4:B492,B493)),""))</f>
        <v/>
      </c>
      <c r="H493" s="56">
        <f>IF(OR(G493="",G493=0,D493=""),"",D493/G493*100)</f>
        <v/>
      </c>
      <c r="I493" s="57">
        <f>IF(OR(G493="",G493=0,F493=""),"",F493/G493)</f>
        <v/>
      </c>
      <c r="J493" s="40" t="n"/>
      <c r="K493" s="40" t="n"/>
      <c r="L493" s="40" t="n"/>
    </row>
    <row r="494">
      <c r="A494" s="35" t="n"/>
      <c r="B494" s="34" t="n"/>
      <c r="C494" s="39" t="n"/>
      <c r="D494" s="53" t="n"/>
      <c r="E494" s="54" t="n"/>
      <c r="F494" s="55">
        <f>IF(OR(D494="",E494=""),"",D494*E494)</f>
        <v/>
      </c>
      <c r="G494" s="48">
        <f>IF(OR(B494="",C494=""),"",IFERROR(IF(MAXIFS($C$4:C493,$B$4:B493,B494)=0,"",C494-MAXIFS($C$4:C493,$B$4:B493,B494)),""))</f>
        <v/>
      </c>
      <c r="H494" s="56">
        <f>IF(OR(G494="",G494=0,D494=""),"",D494/G494*100)</f>
        <v/>
      </c>
      <c r="I494" s="57">
        <f>IF(OR(G494="",G494=0,F494=""),"",F494/G494)</f>
        <v/>
      </c>
      <c r="J494" s="38" t="n"/>
      <c r="K494" s="38" t="n"/>
      <c r="L494" s="38" t="n"/>
    </row>
    <row r="495">
      <c r="A495" s="33" t="n"/>
      <c r="B495" s="32" t="n"/>
      <c r="C495" s="41" t="n"/>
      <c r="D495" s="58" t="n"/>
      <c r="E495" s="59" t="n"/>
      <c r="F495" s="55">
        <f>IF(OR(D495="",E495=""),"",D495*E495)</f>
        <v/>
      </c>
      <c r="G495" s="48">
        <f>IF(OR(B495="",C495=""),"",IFERROR(IF(MAXIFS($C$4:C494,$B$4:B494,B495)=0,"",C495-MAXIFS($C$4:C494,$B$4:B494,B495)),""))</f>
        <v/>
      </c>
      <c r="H495" s="56">
        <f>IF(OR(G495="",G495=0,D495=""),"",D495/G495*100)</f>
        <v/>
      </c>
      <c r="I495" s="57">
        <f>IF(OR(G495="",G495=0,F495=""),"",F495/G495)</f>
        <v/>
      </c>
      <c r="J495" s="40" t="n"/>
      <c r="K495" s="40" t="n"/>
      <c r="L495" s="40" t="n"/>
    </row>
    <row r="496">
      <c r="A496" s="35" t="n"/>
      <c r="B496" s="34" t="n"/>
      <c r="C496" s="39" t="n"/>
      <c r="D496" s="53" t="n"/>
      <c r="E496" s="54" t="n"/>
      <c r="F496" s="55">
        <f>IF(OR(D496="",E496=""),"",D496*E496)</f>
        <v/>
      </c>
      <c r="G496" s="48">
        <f>IF(OR(B496="",C496=""),"",IFERROR(IF(MAXIFS($C$4:C495,$B$4:B495,B496)=0,"",C496-MAXIFS($C$4:C495,$B$4:B495,B496)),""))</f>
        <v/>
      </c>
      <c r="H496" s="56">
        <f>IF(OR(G496="",G496=0,D496=""),"",D496/G496*100)</f>
        <v/>
      </c>
      <c r="I496" s="57">
        <f>IF(OR(G496="",G496=0,F496=""),"",F496/G496)</f>
        <v/>
      </c>
      <c r="J496" s="38" t="n"/>
      <c r="K496" s="38" t="n"/>
      <c r="L496" s="38" t="n"/>
    </row>
    <row r="497">
      <c r="A497" s="33" t="n"/>
      <c r="B497" s="32" t="n"/>
      <c r="C497" s="41" t="n"/>
      <c r="D497" s="58" t="n"/>
      <c r="E497" s="59" t="n"/>
      <c r="F497" s="55">
        <f>IF(OR(D497="",E497=""),"",D497*E497)</f>
        <v/>
      </c>
      <c r="G497" s="48">
        <f>IF(OR(B497="",C497=""),"",IFERROR(IF(MAXIFS($C$4:C496,$B$4:B496,B497)=0,"",C497-MAXIFS($C$4:C496,$B$4:B496,B497)),""))</f>
        <v/>
      </c>
      <c r="H497" s="56">
        <f>IF(OR(G497="",G497=0,D497=""),"",D497/G497*100)</f>
        <v/>
      </c>
      <c r="I497" s="57">
        <f>IF(OR(G497="",G497=0,F497=""),"",F497/G497)</f>
        <v/>
      </c>
      <c r="J497" s="40" t="n"/>
      <c r="K497" s="40" t="n"/>
      <c r="L497" s="40" t="n"/>
    </row>
    <row r="498">
      <c r="A498" s="35" t="n"/>
      <c r="B498" s="34" t="n"/>
      <c r="C498" s="39" t="n"/>
      <c r="D498" s="53" t="n"/>
      <c r="E498" s="54" t="n"/>
      <c r="F498" s="55">
        <f>IF(OR(D498="",E498=""),"",D498*E498)</f>
        <v/>
      </c>
      <c r="G498" s="48">
        <f>IF(OR(B498="",C498=""),"",IFERROR(IF(MAXIFS($C$4:C497,$B$4:B497,B498)=0,"",C498-MAXIFS($C$4:C497,$B$4:B497,B498)),""))</f>
        <v/>
      </c>
      <c r="H498" s="56">
        <f>IF(OR(G498="",G498=0,D498=""),"",D498/G498*100)</f>
        <v/>
      </c>
      <c r="I498" s="57">
        <f>IF(OR(G498="",G498=0,F498=""),"",F498/G498)</f>
        <v/>
      </c>
      <c r="J498" s="38" t="n"/>
      <c r="K498" s="38" t="n"/>
      <c r="L498" s="38" t="n"/>
    </row>
    <row r="499">
      <c r="A499" s="33" t="n"/>
      <c r="B499" s="32" t="n"/>
      <c r="C499" s="41" t="n"/>
      <c r="D499" s="58" t="n"/>
      <c r="E499" s="59" t="n"/>
      <c r="F499" s="55">
        <f>IF(OR(D499="",E499=""),"",D499*E499)</f>
        <v/>
      </c>
      <c r="G499" s="48">
        <f>IF(OR(B499="",C499=""),"",IFERROR(IF(MAXIFS($C$4:C498,$B$4:B498,B499)=0,"",C499-MAXIFS($C$4:C498,$B$4:B498,B499)),""))</f>
        <v/>
      </c>
      <c r="H499" s="56">
        <f>IF(OR(G499="",G499=0,D499=""),"",D499/G499*100)</f>
        <v/>
      </c>
      <c r="I499" s="57">
        <f>IF(OR(G499="",G499=0,F499=""),"",F499/G499)</f>
        <v/>
      </c>
      <c r="J499" s="40" t="n"/>
      <c r="K499" s="40" t="n"/>
      <c r="L499" s="40" t="n"/>
    </row>
    <row r="500">
      <c r="A500" s="35" t="n"/>
      <c r="B500" s="34" t="n"/>
      <c r="C500" s="39" t="n"/>
      <c r="D500" s="53" t="n"/>
      <c r="E500" s="54" t="n"/>
      <c r="F500" s="55">
        <f>IF(OR(D500="",E500=""),"",D500*E500)</f>
        <v/>
      </c>
      <c r="G500" s="48">
        <f>IF(OR(B500="",C500=""),"",IFERROR(IF(MAXIFS($C$4:C499,$B$4:B499,B500)=0,"",C500-MAXIFS($C$4:C499,$B$4:B499,B500)),""))</f>
        <v/>
      </c>
      <c r="H500" s="56">
        <f>IF(OR(G500="",G500=0,D500=""),"",D500/G500*100)</f>
        <v/>
      </c>
      <c r="I500" s="57">
        <f>IF(OR(G500="",G500=0,F500=""),"",F500/G500)</f>
        <v/>
      </c>
      <c r="J500" s="38" t="n"/>
      <c r="K500" s="38" t="n"/>
      <c r="L500" s="38" t="n"/>
    </row>
    <row r="501">
      <c r="A501" s="33" t="n"/>
      <c r="B501" s="32" t="n"/>
      <c r="C501" s="41" t="n"/>
      <c r="D501" s="58" t="n"/>
      <c r="E501" s="59" t="n"/>
      <c r="F501" s="55">
        <f>IF(OR(D501="",E501=""),"",D501*E501)</f>
        <v/>
      </c>
      <c r="G501" s="48">
        <f>IF(OR(B501="",C501=""),"",IFERROR(IF(MAXIFS($C$4:C500,$B$4:B500,B501)=0,"",C501-MAXIFS($C$4:C500,$B$4:B500,B501)),""))</f>
        <v/>
      </c>
      <c r="H501" s="56">
        <f>IF(OR(G501="",G501=0,D501=""),"",D501/G501*100)</f>
        <v/>
      </c>
      <c r="I501" s="57">
        <f>IF(OR(G501="",G501=0,F501=""),"",F501/G501)</f>
        <v/>
      </c>
      <c r="J501" s="40" t="n"/>
      <c r="K501" s="40" t="n"/>
      <c r="L501" s="40" t="n"/>
    </row>
    <row r="502">
      <c r="A502" s="35" t="n"/>
      <c r="B502" s="34" t="n"/>
      <c r="C502" s="39" t="n"/>
      <c r="D502" s="53" t="n"/>
      <c r="E502" s="54" t="n"/>
      <c r="F502" s="55">
        <f>IF(OR(D502="",E502=""),"",D502*E502)</f>
        <v/>
      </c>
      <c r="G502" s="48">
        <f>IF(OR(B502="",C502=""),"",IFERROR(IF(MAXIFS($C$4:C501,$B$4:B501,B502)=0,"",C502-MAXIFS($C$4:C501,$B$4:B501,B502)),""))</f>
        <v/>
      </c>
      <c r="H502" s="56">
        <f>IF(OR(G502="",G502=0,D502=""),"",D502/G502*100)</f>
        <v/>
      </c>
      <c r="I502" s="57">
        <f>IF(OR(G502="",G502=0,F502=""),"",F502/G502)</f>
        <v/>
      </c>
      <c r="J502" s="38" t="n"/>
      <c r="K502" s="38" t="n"/>
      <c r="L502" s="38" t="n"/>
    </row>
    <row r="503">
      <c r="A503" s="33" t="n"/>
      <c r="B503" s="32" t="n"/>
      <c r="C503" s="41" t="n"/>
      <c r="D503" s="58" t="n"/>
      <c r="E503" s="59" t="n"/>
      <c r="F503" s="55">
        <f>IF(OR(D503="",E503=""),"",D503*E503)</f>
        <v/>
      </c>
      <c r="G503" s="48">
        <f>IF(OR(B503="",C503=""),"",IFERROR(IF(MAXIFS($C$4:C502,$B$4:B502,B503)=0,"",C503-MAXIFS($C$4:C502,$B$4:B502,B503)),""))</f>
        <v/>
      </c>
      <c r="H503" s="56">
        <f>IF(OR(G503="",G503=0,D503=""),"",D503/G503*100)</f>
        <v/>
      </c>
      <c r="I503" s="57">
        <f>IF(OR(G503="",G503=0,F503=""),"",F503/G503)</f>
        <v/>
      </c>
      <c r="J503" s="40" t="n"/>
      <c r="K503" s="40" t="n"/>
      <c r="L503" s="40" t="n"/>
    </row>
    <row r="504">
      <c r="A504" s="35" t="n"/>
      <c r="B504" s="34" t="n"/>
      <c r="C504" s="39" t="n"/>
      <c r="D504" s="53" t="n"/>
      <c r="E504" s="54" t="n"/>
      <c r="F504" s="55">
        <f>IF(OR(D504="",E504=""),"",D504*E504)</f>
        <v/>
      </c>
      <c r="G504" s="48">
        <f>IF(OR(B504="",C504=""),"",IFERROR(IF(MAXIFS($C$4:C503,$B$4:B503,B504)=0,"",C504-MAXIFS($C$4:C503,$B$4:B503,B504)),""))</f>
        <v/>
      </c>
      <c r="H504" s="56">
        <f>IF(OR(G504="",G504=0,D504=""),"",D504/G504*100)</f>
        <v/>
      </c>
      <c r="I504" s="57">
        <f>IF(OR(G504="",G504=0,F504=""),"",F504/G504)</f>
        <v/>
      </c>
      <c r="J504" s="38" t="n"/>
      <c r="K504" s="38" t="n"/>
      <c r="L504" s="38" t="n"/>
    </row>
    <row r="505">
      <c r="A505" s="33" t="n"/>
      <c r="B505" s="32" t="n"/>
      <c r="C505" s="41" t="n"/>
      <c r="D505" s="58" t="n"/>
      <c r="E505" s="59" t="n"/>
      <c r="F505" s="55">
        <f>IF(OR(D505="",E505=""),"",D505*E505)</f>
        <v/>
      </c>
      <c r="G505" s="48">
        <f>IF(OR(B505="",C505=""),"",IFERROR(IF(MAXIFS($C$4:C504,$B$4:B504,B505)=0,"",C505-MAXIFS($C$4:C504,$B$4:B504,B505)),""))</f>
        <v/>
      </c>
      <c r="H505" s="56">
        <f>IF(OR(G505="",G505=0,D505=""),"",D505/G505*100)</f>
        <v/>
      </c>
      <c r="I505" s="57">
        <f>IF(OR(G505="",G505=0,F505=""),"",F505/G505)</f>
        <v/>
      </c>
      <c r="J505" s="40" t="n"/>
      <c r="K505" s="40" t="n"/>
      <c r="L505" s="40" t="n"/>
    </row>
    <row r="506">
      <c r="A506" s="35" t="n"/>
      <c r="B506" s="34" t="n"/>
      <c r="C506" s="39" t="n"/>
      <c r="D506" s="53" t="n"/>
      <c r="E506" s="54" t="n"/>
      <c r="F506" s="55">
        <f>IF(OR(D506="",E506=""),"",D506*E506)</f>
        <v/>
      </c>
      <c r="G506" s="48">
        <f>IF(OR(B506="",C506=""),"",IFERROR(IF(MAXIFS($C$4:C505,$B$4:B505,B506)=0,"",C506-MAXIFS($C$4:C505,$B$4:B505,B506)),""))</f>
        <v/>
      </c>
      <c r="H506" s="56">
        <f>IF(OR(G506="",G506=0,D506=""),"",D506/G506*100)</f>
        <v/>
      </c>
      <c r="I506" s="57">
        <f>IF(OR(G506="",G506=0,F506=""),"",F506/G506)</f>
        <v/>
      </c>
      <c r="J506" s="38" t="n"/>
      <c r="K506" s="38" t="n"/>
      <c r="L506" s="38" t="n"/>
    </row>
    <row r="507">
      <c r="A507" s="33" t="n"/>
      <c r="B507" s="32" t="n"/>
      <c r="C507" s="41" t="n"/>
      <c r="D507" s="58" t="n"/>
      <c r="E507" s="59" t="n"/>
      <c r="F507" s="55">
        <f>IF(OR(D507="",E507=""),"",D507*E507)</f>
        <v/>
      </c>
      <c r="G507" s="48">
        <f>IF(OR(B507="",C507=""),"",IFERROR(IF(MAXIFS($C$4:C506,$B$4:B506,B507)=0,"",C507-MAXIFS($C$4:C506,$B$4:B506,B507)),""))</f>
        <v/>
      </c>
      <c r="H507" s="56">
        <f>IF(OR(G507="",G507=0,D507=""),"",D507/G507*100)</f>
        <v/>
      </c>
      <c r="I507" s="57">
        <f>IF(OR(G507="",G507=0,F507=""),"",F507/G507)</f>
        <v/>
      </c>
      <c r="J507" s="40" t="n"/>
      <c r="K507" s="40" t="n"/>
      <c r="L507" s="40" t="n"/>
    </row>
    <row r="508">
      <c r="A508" s="35" t="n"/>
      <c r="B508" s="34" t="n"/>
      <c r="C508" s="39" t="n"/>
      <c r="D508" s="53" t="n"/>
      <c r="E508" s="54" t="n"/>
      <c r="F508" s="55">
        <f>IF(OR(D508="",E508=""),"",D508*E508)</f>
        <v/>
      </c>
      <c r="G508" s="48">
        <f>IF(OR(B508="",C508=""),"",IFERROR(IF(MAXIFS($C$4:C507,$B$4:B507,B508)=0,"",C508-MAXIFS($C$4:C507,$B$4:B507,B508)),""))</f>
        <v/>
      </c>
      <c r="H508" s="56">
        <f>IF(OR(G508="",G508=0,D508=""),"",D508/G508*100)</f>
        <v/>
      </c>
      <c r="I508" s="57">
        <f>IF(OR(G508="",G508=0,F508=""),"",F508/G508)</f>
        <v/>
      </c>
      <c r="J508" s="38" t="n"/>
      <c r="K508" s="38" t="n"/>
      <c r="L508" s="38" t="n"/>
    </row>
    <row r="509">
      <c r="A509" s="33" t="n"/>
      <c r="B509" s="32" t="n"/>
      <c r="C509" s="41" t="n"/>
      <c r="D509" s="58" t="n"/>
      <c r="E509" s="59" t="n"/>
      <c r="F509" s="55">
        <f>IF(OR(D509="",E509=""),"",D509*E509)</f>
        <v/>
      </c>
      <c r="G509" s="48">
        <f>IF(OR(B509="",C509=""),"",IFERROR(IF(MAXIFS($C$4:C508,$B$4:B508,B509)=0,"",C509-MAXIFS($C$4:C508,$B$4:B508,B509)),""))</f>
        <v/>
      </c>
      <c r="H509" s="56">
        <f>IF(OR(G509="",G509=0,D509=""),"",D509/G509*100)</f>
        <v/>
      </c>
      <c r="I509" s="57">
        <f>IF(OR(G509="",G509=0,F509=""),"",F509/G509)</f>
        <v/>
      </c>
      <c r="J509" s="40" t="n"/>
      <c r="K509" s="40" t="n"/>
      <c r="L509" s="40" t="n"/>
    </row>
    <row r="510">
      <c r="A510" s="35" t="n"/>
      <c r="B510" s="34" t="n"/>
      <c r="C510" s="39" t="n"/>
      <c r="D510" s="53" t="n"/>
      <c r="E510" s="54" t="n"/>
      <c r="F510" s="55">
        <f>IF(OR(D510="",E510=""),"",D510*E510)</f>
        <v/>
      </c>
      <c r="G510" s="48">
        <f>IF(OR(B510="",C510=""),"",IFERROR(IF(MAXIFS($C$4:C509,$B$4:B509,B510)=0,"",C510-MAXIFS($C$4:C509,$B$4:B509,B510)),""))</f>
        <v/>
      </c>
      <c r="H510" s="56">
        <f>IF(OR(G510="",G510=0,D510=""),"",D510/G510*100)</f>
        <v/>
      </c>
      <c r="I510" s="57">
        <f>IF(OR(G510="",G510=0,F510=""),"",F510/G510)</f>
        <v/>
      </c>
      <c r="J510" s="38" t="n"/>
      <c r="K510" s="38" t="n"/>
      <c r="L510" s="38" t="n"/>
    </row>
    <row r="511">
      <c r="A511" s="33" t="n"/>
      <c r="B511" s="32" t="n"/>
      <c r="C511" s="41" t="n"/>
      <c r="D511" s="58" t="n"/>
      <c r="E511" s="59" t="n"/>
      <c r="F511" s="55">
        <f>IF(OR(D511="",E511=""),"",D511*E511)</f>
        <v/>
      </c>
      <c r="G511" s="48">
        <f>IF(OR(B511="",C511=""),"",IFERROR(IF(MAXIFS($C$4:C510,$B$4:B510,B511)=0,"",C511-MAXIFS($C$4:C510,$B$4:B510,B511)),""))</f>
        <v/>
      </c>
      <c r="H511" s="56">
        <f>IF(OR(G511="",G511=0,D511=""),"",D511/G511*100)</f>
        <v/>
      </c>
      <c r="I511" s="57">
        <f>IF(OR(G511="",G511=0,F511=""),"",F511/G511)</f>
        <v/>
      </c>
      <c r="J511" s="40" t="n"/>
      <c r="K511" s="40" t="n"/>
      <c r="L511" s="40" t="n"/>
    </row>
    <row r="512">
      <c r="A512" s="35" t="n"/>
      <c r="B512" s="34" t="n"/>
      <c r="C512" s="39" t="n"/>
      <c r="D512" s="53" t="n"/>
      <c r="E512" s="54" t="n"/>
      <c r="F512" s="55">
        <f>IF(OR(D512="",E512=""),"",D512*E512)</f>
        <v/>
      </c>
      <c r="G512" s="48">
        <f>IF(OR(B512="",C512=""),"",IFERROR(IF(MAXIFS($C$4:C511,$B$4:B511,B512)=0,"",C512-MAXIFS($C$4:C511,$B$4:B511,B512)),""))</f>
        <v/>
      </c>
      <c r="H512" s="56">
        <f>IF(OR(G512="",G512=0,D512=""),"",D512/G512*100)</f>
        <v/>
      </c>
      <c r="I512" s="57">
        <f>IF(OR(G512="",G512=0,F512=""),"",F512/G512)</f>
        <v/>
      </c>
      <c r="J512" s="38" t="n"/>
      <c r="K512" s="38" t="n"/>
      <c r="L512" s="38" t="n"/>
    </row>
    <row r="513">
      <c r="A513" s="33" t="n"/>
      <c r="B513" s="32" t="n"/>
      <c r="C513" s="41" t="n"/>
      <c r="D513" s="58" t="n"/>
      <c r="E513" s="59" t="n"/>
      <c r="F513" s="55">
        <f>IF(OR(D513="",E513=""),"",D513*E513)</f>
        <v/>
      </c>
      <c r="G513" s="48">
        <f>IF(OR(B513="",C513=""),"",IFERROR(IF(MAXIFS($C$4:C512,$B$4:B512,B513)=0,"",C513-MAXIFS($C$4:C512,$B$4:B512,B513)),""))</f>
        <v/>
      </c>
      <c r="H513" s="56">
        <f>IF(OR(G513="",G513=0,D513=""),"",D513/G513*100)</f>
        <v/>
      </c>
      <c r="I513" s="57">
        <f>IF(OR(G513="",G513=0,F513=""),"",F513/G513)</f>
        <v/>
      </c>
      <c r="J513" s="40" t="n"/>
      <c r="K513" s="40" t="n"/>
      <c r="L513" s="40" t="n"/>
    </row>
    <row r="514">
      <c r="A514" s="35" t="n"/>
      <c r="B514" s="34" t="n"/>
      <c r="C514" s="39" t="n"/>
      <c r="D514" s="53" t="n"/>
      <c r="E514" s="54" t="n"/>
      <c r="F514" s="55">
        <f>IF(OR(D514="",E514=""),"",D514*E514)</f>
        <v/>
      </c>
      <c r="G514" s="48">
        <f>IF(OR(B514="",C514=""),"",IFERROR(IF(MAXIFS($C$4:C513,$B$4:B513,B514)=0,"",C514-MAXIFS($C$4:C513,$B$4:B513,B514)),""))</f>
        <v/>
      </c>
      <c r="H514" s="56">
        <f>IF(OR(G514="",G514=0,D514=""),"",D514/G514*100)</f>
        <v/>
      </c>
      <c r="I514" s="57">
        <f>IF(OR(G514="",G514=0,F514=""),"",F514/G514)</f>
        <v/>
      </c>
      <c r="J514" s="38" t="n"/>
      <c r="K514" s="38" t="n"/>
      <c r="L514" s="38" t="n"/>
    </row>
    <row r="515">
      <c r="A515" s="33" t="n"/>
      <c r="B515" s="32" t="n"/>
      <c r="C515" s="41" t="n"/>
      <c r="D515" s="58" t="n"/>
      <c r="E515" s="59" t="n"/>
      <c r="F515" s="55">
        <f>IF(OR(D515="",E515=""),"",D515*E515)</f>
        <v/>
      </c>
      <c r="G515" s="48">
        <f>IF(OR(B515="",C515=""),"",IFERROR(IF(MAXIFS($C$4:C514,$B$4:B514,B515)=0,"",C515-MAXIFS($C$4:C514,$B$4:B514,B515)),""))</f>
        <v/>
      </c>
      <c r="H515" s="56">
        <f>IF(OR(G515="",G515=0,D515=""),"",D515/G515*100)</f>
        <v/>
      </c>
      <c r="I515" s="57">
        <f>IF(OR(G515="",G515=0,F515=""),"",F515/G515)</f>
        <v/>
      </c>
      <c r="J515" s="40" t="n"/>
      <c r="K515" s="40" t="n"/>
      <c r="L515" s="40" t="n"/>
    </row>
    <row r="516">
      <c r="A516" s="35" t="n"/>
      <c r="B516" s="34" t="n"/>
      <c r="C516" s="39" t="n"/>
      <c r="D516" s="53" t="n"/>
      <c r="E516" s="54" t="n"/>
      <c r="F516" s="55">
        <f>IF(OR(D516="",E516=""),"",D516*E516)</f>
        <v/>
      </c>
      <c r="G516" s="48">
        <f>IF(OR(B516="",C516=""),"",IFERROR(IF(MAXIFS($C$4:C515,$B$4:B515,B516)=0,"",C516-MAXIFS($C$4:C515,$B$4:B515,B516)),""))</f>
        <v/>
      </c>
      <c r="H516" s="56">
        <f>IF(OR(G516="",G516=0,D516=""),"",D516/G516*100)</f>
        <v/>
      </c>
      <c r="I516" s="57">
        <f>IF(OR(G516="",G516=0,F516=""),"",F516/G516)</f>
        <v/>
      </c>
      <c r="J516" s="38" t="n"/>
      <c r="K516" s="38" t="n"/>
      <c r="L516" s="38" t="n"/>
    </row>
    <row r="517">
      <c r="A517" s="33" t="n"/>
      <c r="B517" s="32" t="n"/>
      <c r="C517" s="41" t="n"/>
      <c r="D517" s="58" t="n"/>
      <c r="E517" s="59" t="n"/>
      <c r="F517" s="55">
        <f>IF(OR(D517="",E517=""),"",D517*E517)</f>
        <v/>
      </c>
      <c r="G517" s="48">
        <f>IF(OR(B517="",C517=""),"",IFERROR(IF(MAXIFS($C$4:C516,$B$4:B516,B517)=0,"",C517-MAXIFS($C$4:C516,$B$4:B516,B517)),""))</f>
        <v/>
      </c>
      <c r="H517" s="56">
        <f>IF(OR(G517="",G517=0,D517=""),"",D517/G517*100)</f>
        <v/>
      </c>
      <c r="I517" s="57">
        <f>IF(OR(G517="",G517=0,F517=""),"",F517/G517)</f>
        <v/>
      </c>
      <c r="J517" s="40" t="n"/>
      <c r="K517" s="40" t="n"/>
      <c r="L517" s="40" t="n"/>
    </row>
    <row r="518">
      <c r="A518" s="35" t="n"/>
      <c r="B518" s="34" t="n"/>
      <c r="C518" s="39" t="n"/>
      <c r="D518" s="53" t="n"/>
      <c r="E518" s="54" t="n"/>
      <c r="F518" s="55">
        <f>IF(OR(D518="",E518=""),"",D518*E518)</f>
        <v/>
      </c>
      <c r="G518" s="48">
        <f>IF(OR(B518="",C518=""),"",IFERROR(IF(MAXIFS($C$4:C517,$B$4:B517,B518)=0,"",C518-MAXIFS($C$4:C517,$B$4:B517,B518)),""))</f>
        <v/>
      </c>
      <c r="H518" s="56">
        <f>IF(OR(G518="",G518=0,D518=""),"",D518/G518*100)</f>
        <v/>
      </c>
      <c r="I518" s="57">
        <f>IF(OR(G518="",G518=0,F518=""),"",F518/G518)</f>
        <v/>
      </c>
      <c r="J518" s="38" t="n"/>
      <c r="K518" s="38" t="n"/>
      <c r="L518" s="38" t="n"/>
    </row>
    <row r="519">
      <c r="A519" s="33" t="n"/>
      <c r="B519" s="32" t="n"/>
      <c r="C519" s="41" t="n"/>
      <c r="D519" s="58" t="n"/>
      <c r="E519" s="59" t="n"/>
      <c r="F519" s="55">
        <f>IF(OR(D519="",E519=""),"",D519*E519)</f>
        <v/>
      </c>
      <c r="G519" s="48">
        <f>IF(OR(B519="",C519=""),"",IFERROR(IF(MAXIFS($C$4:C518,$B$4:B518,B519)=0,"",C519-MAXIFS($C$4:C518,$B$4:B518,B519)),""))</f>
        <v/>
      </c>
      <c r="H519" s="56">
        <f>IF(OR(G519="",G519=0,D519=""),"",D519/G519*100)</f>
        <v/>
      </c>
      <c r="I519" s="57">
        <f>IF(OR(G519="",G519=0,F519=""),"",F519/G519)</f>
        <v/>
      </c>
      <c r="J519" s="40" t="n"/>
      <c r="K519" s="40" t="n"/>
      <c r="L519" s="40" t="n"/>
    </row>
    <row r="520">
      <c r="A520" s="35" t="n"/>
      <c r="B520" s="34" t="n"/>
      <c r="C520" s="39" t="n"/>
      <c r="D520" s="53" t="n"/>
      <c r="E520" s="54" t="n"/>
      <c r="F520" s="55">
        <f>IF(OR(D520="",E520=""),"",D520*E520)</f>
        <v/>
      </c>
      <c r="G520" s="48">
        <f>IF(OR(B520="",C520=""),"",IFERROR(IF(MAXIFS($C$4:C519,$B$4:B519,B520)=0,"",C520-MAXIFS($C$4:C519,$B$4:B519,B520)),""))</f>
        <v/>
      </c>
      <c r="H520" s="56">
        <f>IF(OR(G520="",G520=0,D520=""),"",D520/G520*100)</f>
        <v/>
      </c>
      <c r="I520" s="57">
        <f>IF(OR(G520="",G520=0,F520=""),"",F520/G520)</f>
        <v/>
      </c>
      <c r="J520" s="38" t="n"/>
      <c r="K520" s="38" t="n"/>
      <c r="L520" s="38" t="n"/>
    </row>
    <row r="521">
      <c r="A521" s="33" t="n"/>
      <c r="B521" s="32" t="n"/>
      <c r="C521" s="41" t="n"/>
      <c r="D521" s="58" t="n"/>
      <c r="E521" s="59" t="n"/>
      <c r="F521" s="55">
        <f>IF(OR(D521="",E521=""),"",D521*E521)</f>
        <v/>
      </c>
      <c r="G521" s="48">
        <f>IF(OR(B521="",C521=""),"",IFERROR(IF(MAXIFS($C$4:C520,$B$4:B520,B521)=0,"",C521-MAXIFS($C$4:C520,$B$4:B520,B521)),""))</f>
        <v/>
      </c>
      <c r="H521" s="56">
        <f>IF(OR(G521="",G521=0,D521=""),"",D521/G521*100)</f>
        <v/>
      </c>
      <c r="I521" s="57">
        <f>IF(OR(G521="",G521=0,F521=""),"",F521/G521)</f>
        <v/>
      </c>
      <c r="J521" s="40" t="n"/>
      <c r="K521" s="40" t="n"/>
      <c r="L521" s="40" t="n"/>
    </row>
    <row r="522">
      <c r="A522" s="35" t="n"/>
      <c r="B522" s="34" t="n"/>
      <c r="C522" s="39" t="n"/>
      <c r="D522" s="53" t="n"/>
      <c r="E522" s="54" t="n"/>
      <c r="F522" s="55">
        <f>IF(OR(D522="",E522=""),"",D522*E522)</f>
        <v/>
      </c>
      <c r="G522" s="48">
        <f>IF(OR(B522="",C522=""),"",IFERROR(IF(MAXIFS($C$4:C521,$B$4:B521,B522)=0,"",C522-MAXIFS($C$4:C521,$B$4:B521,B522)),""))</f>
        <v/>
      </c>
      <c r="H522" s="56">
        <f>IF(OR(G522="",G522=0,D522=""),"",D522/G522*100)</f>
        <v/>
      </c>
      <c r="I522" s="57">
        <f>IF(OR(G522="",G522=0,F522=""),"",F522/G522)</f>
        <v/>
      </c>
      <c r="J522" s="38" t="n"/>
      <c r="K522" s="38" t="n"/>
      <c r="L522" s="38" t="n"/>
    </row>
    <row r="523">
      <c r="A523" s="33" t="n"/>
      <c r="B523" s="32" t="n"/>
      <c r="C523" s="41" t="n"/>
      <c r="D523" s="58" t="n"/>
      <c r="E523" s="59" t="n"/>
      <c r="F523" s="55">
        <f>IF(OR(D523="",E523=""),"",D523*E523)</f>
        <v/>
      </c>
      <c r="G523" s="48">
        <f>IF(OR(B523="",C523=""),"",IFERROR(IF(MAXIFS($C$4:C522,$B$4:B522,B523)=0,"",C523-MAXIFS($C$4:C522,$B$4:B522,B523)),""))</f>
        <v/>
      </c>
      <c r="H523" s="56">
        <f>IF(OR(G523="",G523=0,D523=""),"",D523/G523*100)</f>
        <v/>
      </c>
      <c r="I523" s="57">
        <f>IF(OR(G523="",G523=0,F523=""),"",F523/G523)</f>
        <v/>
      </c>
      <c r="J523" s="40" t="n"/>
      <c r="K523" s="40" t="n"/>
      <c r="L523" s="40" t="n"/>
    </row>
    <row r="524">
      <c r="A524" s="35" t="n"/>
      <c r="B524" s="34" t="n"/>
      <c r="C524" s="39" t="n"/>
      <c r="D524" s="53" t="n"/>
      <c r="E524" s="54" t="n"/>
      <c r="F524" s="55">
        <f>IF(OR(D524="",E524=""),"",D524*E524)</f>
        <v/>
      </c>
      <c r="G524" s="48">
        <f>IF(OR(B524="",C524=""),"",IFERROR(IF(MAXIFS($C$4:C523,$B$4:B523,B524)=0,"",C524-MAXIFS($C$4:C523,$B$4:B523,B524)),""))</f>
        <v/>
      </c>
      <c r="H524" s="56">
        <f>IF(OR(G524="",G524=0,D524=""),"",D524/G524*100)</f>
        <v/>
      </c>
      <c r="I524" s="57">
        <f>IF(OR(G524="",G524=0,F524=""),"",F524/G524)</f>
        <v/>
      </c>
      <c r="J524" s="38" t="n"/>
      <c r="K524" s="38" t="n"/>
      <c r="L524" s="38" t="n"/>
    </row>
    <row r="525">
      <c r="A525" s="33" t="n"/>
      <c r="B525" s="32" t="n"/>
      <c r="C525" s="41" t="n"/>
      <c r="D525" s="58" t="n"/>
      <c r="E525" s="59" t="n"/>
      <c r="F525" s="55">
        <f>IF(OR(D525="",E525=""),"",D525*E525)</f>
        <v/>
      </c>
      <c r="G525" s="48">
        <f>IF(OR(B525="",C525=""),"",IFERROR(IF(MAXIFS($C$4:C524,$B$4:B524,B525)=0,"",C525-MAXIFS($C$4:C524,$B$4:B524,B525)),""))</f>
        <v/>
      </c>
      <c r="H525" s="56">
        <f>IF(OR(G525="",G525=0,D525=""),"",D525/G525*100)</f>
        <v/>
      </c>
      <c r="I525" s="57">
        <f>IF(OR(G525="",G525=0,F525=""),"",F525/G525)</f>
        <v/>
      </c>
      <c r="J525" s="40" t="n"/>
      <c r="K525" s="40" t="n"/>
      <c r="L525" s="40" t="n"/>
    </row>
    <row r="526">
      <c r="A526" s="35" t="n"/>
      <c r="B526" s="34" t="n"/>
      <c r="C526" s="39" t="n"/>
      <c r="D526" s="53" t="n"/>
      <c r="E526" s="54" t="n"/>
      <c r="F526" s="55">
        <f>IF(OR(D526="",E526=""),"",D526*E526)</f>
        <v/>
      </c>
      <c r="G526" s="48">
        <f>IF(OR(B526="",C526=""),"",IFERROR(IF(MAXIFS($C$4:C525,$B$4:B525,B526)=0,"",C526-MAXIFS($C$4:C525,$B$4:B525,B526)),""))</f>
        <v/>
      </c>
      <c r="H526" s="56">
        <f>IF(OR(G526="",G526=0,D526=""),"",D526/G526*100)</f>
        <v/>
      </c>
      <c r="I526" s="57">
        <f>IF(OR(G526="",G526=0,F526=""),"",F526/G526)</f>
        <v/>
      </c>
      <c r="J526" s="38" t="n"/>
      <c r="K526" s="38" t="n"/>
      <c r="L526" s="38" t="n"/>
    </row>
    <row r="527">
      <c r="A527" s="33" t="n"/>
      <c r="B527" s="32" t="n"/>
      <c r="C527" s="41" t="n"/>
      <c r="D527" s="58" t="n"/>
      <c r="E527" s="59" t="n"/>
      <c r="F527" s="55">
        <f>IF(OR(D527="",E527=""),"",D527*E527)</f>
        <v/>
      </c>
      <c r="G527" s="48">
        <f>IF(OR(B527="",C527=""),"",IFERROR(IF(MAXIFS($C$4:C526,$B$4:B526,B527)=0,"",C527-MAXIFS($C$4:C526,$B$4:B526,B527)),""))</f>
        <v/>
      </c>
      <c r="H527" s="56">
        <f>IF(OR(G527="",G527=0,D527=""),"",D527/G527*100)</f>
        <v/>
      </c>
      <c r="I527" s="57">
        <f>IF(OR(G527="",G527=0,F527=""),"",F527/G527)</f>
        <v/>
      </c>
      <c r="J527" s="40" t="n"/>
      <c r="K527" s="40" t="n"/>
      <c r="L527" s="40" t="n"/>
    </row>
    <row r="528">
      <c r="A528" s="35" t="n"/>
      <c r="B528" s="34" t="n"/>
      <c r="C528" s="39" t="n"/>
      <c r="D528" s="53" t="n"/>
      <c r="E528" s="54" t="n"/>
      <c r="F528" s="55">
        <f>IF(OR(D528="",E528=""),"",D528*E528)</f>
        <v/>
      </c>
      <c r="G528" s="48">
        <f>IF(OR(B528="",C528=""),"",IFERROR(IF(MAXIFS($C$4:C527,$B$4:B527,B528)=0,"",C528-MAXIFS($C$4:C527,$B$4:B527,B528)),""))</f>
        <v/>
      </c>
      <c r="H528" s="56">
        <f>IF(OR(G528="",G528=0,D528=""),"",D528/G528*100)</f>
        <v/>
      </c>
      <c r="I528" s="57">
        <f>IF(OR(G528="",G528=0,F528=""),"",F528/G528)</f>
        <v/>
      </c>
      <c r="J528" s="38" t="n"/>
      <c r="K528" s="38" t="n"/>
      <c r="L528" s="38" t="n"/>
    </row>
    <row r="529">
      <c r="A529" s="33" t="n"/>
      <c r="B529" s="32" t="n"/>
      <c r="C529" s="41" t="n"/>
      <c r="D529" s="58" t="n"/>
      <c r="E529" s="59" t="n"/>
      <c r="F529" s="55">
        <f>IF(OR(D529="",E529=""),"",D529*E529)</f>
        <v/>
      </c>
      <c r="G529" s="48">
        <f>IF(OR(B529="",C529=""),"",IFERROR(IF(MAXIFS($C$4:C528,$B$4:B528,B529)=0,"",C529-MAXIFS($C$4:C528,$B$4:B528,B529)),""))</f>
        <v/>
      </c>
      <c r="H529" s="56">
        <f>IF(OR(G529="",G529=0,D529=""),"",D529/G529*100)</f>
        <v/>
      </c>
      <c r="I529" s="57">
        <f>IF(OR(G529="",G529=0,F529=""),"",F529/G529)</f>
        <v/>
      </c>
      <c r="J529" s="40" t="n"/>
      <c r="K529" s="40" t="n"/>
      <c r="L529" s="40" t="n"/>
    </row>
    <row r="530">
      <c r="A530" s="35" t="n"/>
      <c r="B530" s="34" t="n"/>
      <c r="C530" s="39" t="n"/>
      <c r="D530" s="53" t="n"/>
      <c r="E530" s="54" t="n"/>
      <c r="F530" s="55">
        <f>IF(OR(D530="",E530=""),"",D530*E530)</f>
        <v/>
      </c>
      <c r="G530" s="48">
        <f>IF(OR(B530="",C530=""),"",IFERROR(IF(MAXIFS($C$4:C529,$B$4:B529,B530)=0,"",C530-MAXIFS($C$4:C529,$B$4:B529,B530)),""))</f>
        <v/>
      </c>
      <c r="H530" s="56">
        <f>IF(OR(G530="",G530=0,D530=""),"",D530/G530*100)</f>
        <v/>
      </c>
      <c r="I530" s="57">
        <f>IF(OR(G530="",G530=0,F530=""),"",F530/G530)</f>
        <v/>
      </c>
      <c r="J530" s="38" t="n"/>
      <c r="K530" s="38" t="n"/>
      <c r="L530" s="38" t="n"/>
    </row>
    <row r="531">
      <c r="A531" s="33" t="n"/>
      <c r="B531" s="32" t="n"/>
      <c r="C531" s="41" t="n"/>
      <c r="D531" s="58" t="n"/>
      <c r="E531" s="59" t="n"/>
      <c r="F531" s="55">
        <f>IF(OR(D531="",E531=""),"",D531*E531)</f>
        <v/>
      </c>
      <c r="G531" s="48">
        <f>IF(OR(B531="",C531=""),"",IFERROR(IF(MAXIFS($C$4:C530,$B$4:B530,B531)=0,"",C531-MAXIFS($C$4:C530,$B$4:B530,B531)),""))</f>
        <v/>
      </c>
      <c r="H531" s="56">
        <f>IF(OR(G531="",G531=0,D531=""),"",D531/G531*100)</f>
        <v/>
      </c>
      <c r="I531" s="57">
        <f>IF(OR(G531="",G531=0,F531=""),"",F531/G531)</f>
        <v/>
      </c>
      <c r="J531" s="40" t="n"/>
      <c r="K531" s="40" t="n"/>
      <c r="L531" s="40" t="n"/>
    </row>
    <row r="532">
      <c r="A532" s="35" t="n"/>
      <c r="B532" s="34" t="n"/>
      <c r="C532" s="39" t="n"/>
      <c r="D532" s="53" t="n"/>
      <c r="E532" s="54" t="n"/>
      <c r="F532" s="55">
        <f>IF(OR(D532="",E532=""),"",D532*E532)</f>
        <v/>
      </c>
      <c r="G532" s="48">
        <f>IF(OR(B532="",C532=""),"",IFERROR(IF(MAXIFS($C$4:C531,$B$4:B531,B532)=0,"",C532-MAXIFS($C$4:C531,$B$4:B531,B532)),""))</f>
        <v/>
      </c>
      <c r="H532" s="56">
        <f>IF(OR(G532="",G532=0,D532=""),"",D532/G532*100)</f>
        <v/>
      </c>
      <c r="I532" s="57">
        <f>IF(OR(G532="",G532=0,F532=""),"",F532/G532)</f>
        <v/>
      </c>
      <c r="J532" s="38" t="n"/>
      <c r="K532" s="38" t="n"/>
      <c r="L532" s="38" t="n"/>
    </row>
    <row r="533">
      <c r="A533" s="33" t="n"/>
      <c r="B533" s="32" t="n"/>
      <c r="C533" s="41" t="n"/>
      <c r="D533" s="58" t="n"/>
      <c r="E533" s="59" t="n"/>
      <c r="F533" s="55">
        <f>IF(OR(D533="",E533=""),"",D533*E533)</f>
        <v/>
      </c>
      <c r="G533" s="48">
        <f>IF(OR(B533="",C533=""),"",IFERROR(IF(MAXIFS($C$4:C532,$B$4:B532,B533)=0,"",C533-MAXIFS($C$4:C532,$B$4:B532,B533)),""))</f>
        <v/>
      </c>
      <c r="H533" s="56">
        <f>IF(OR(G533="",G533=0,D533=""),"",D533/G533*100)</f>
        <v/>
      </c>
      <c r="I533" s="57">
        <f>IF(OR(G533="",G533=0,F533=""),"",F533/G533)</f>
        <v/>
      </c>
      <c r="J533" s="40" t="n"/>
      <c r="K533" s="40" t="n"/>
      <c r="L533" s="40" t="n"/>
    </row>
    <row r="534">
      <c r="A534" s="35" t="n"/>
      <c r="B534" s="34" t="n"/>
      <c r="C534" s="39" t="n"/>
      <c r="D534" s="53" t="n"/>
      <c r="E534" s="54" t="n"/>
      <c r="F534" s="55">
        <f>IF(OR(D534="",E534=""),"",D534*E534)</f>
        <v/>
      </c>
      <c r="G534" s="48">
        <f>IF(OR(B534="",C534=""),"",IFERROR(IF(MAXIFS($C$4:C533,$B$4:B533,B534)=0,"",C534-MAXIFS($C$4:C533,$B$4:B533,B534)),""))</f>
        <v/>
      </c>
      <c r="H534" s="56">
        <f>IF(OR(G534="",G534=0,D534=""),"",D534/G534*100)</f>
        <v/>
      </c>
      <c r="I534" s="57">
        <f>IF(OR(G534="",G534=0,F534=""),"",F534/G534)</f>
        <v/>
      </c>
      <c r="J534" s="38" t="n"/>
      <c r="K534" s="38" t="n"/>
      <c r="L534" s="38" t="n"/>
    </row>
    <row r="535">
      <c r="A535" s="33" t="n"/>
      <c r="B535" s="32" t="n"/>
      <c r="C535" s="41" t="n"/>
      <c r="D535" s="58" t="n"/>
      <c r="E535" s="59" t="n"/>
      <c r="F535" s="55">
        <f>IF(OR(D535="",E535=""),"",D535*E535)</f>
        <v/>
      </c>
      <c r="G535" s="48">
        <f>IF(OR(B535="",C535=""),"",IFERROR(IF(MAXIFS($C$4:C534,$B$4:B534,B535)=0,"",C535-MAXIFS($C$4:C534,$B$4:B534,B535)),""))</f>
        <v/>
      </c>
      <c r="H535" s="56">
        <f>IF(OR(G535="",G535=0,D535=""),"",D535/G535*100)</f>
        <v/>
      </c>
      <c r="I535" s="57">
        <f>IF(OR(G535="",G535=0,F535=""),"",F535/G535)</f>
        <v/>
      </c>
      <c r="J535" s="40" t="n"/>
      <c r="K535" s="40" t="n"/>
      <c r="L535" s="40" t="n"/>
    </row>
    <row r="536">
      <c r="A536" s="35" t="n"/>
      <c r="B536" s="34" t="n"/>
      <c r="C536" s="39" t="n"/>
      <c r="D536" s="53" t="n"/>
      <c r="E536" s="54" t="n"/>
      <c r="F536" s="55">
        <f>IF(OR(D536="",E536=""),"",D536*E536)</f>
        <v/>
      </c>
      <c r="G536" s="48">
        <f>IF(OR(B536="",C536=""),"",IFERROR(IF(MAXIFS($C$4:C535,$B$4:B535,B536)=0,"",C536-MAXIFS($C$4:C535,$B$4:B535,B536)),""))</f>
        <v/>
      </c>
      <c r="H536" s="56">
        <f>IF(OR(G536="",G536=0,D536=""),"",D536/G536*100)</f>
        <v/>
      </c>
      <c r="I536" s="57">
        <f>IF(OR(G536="",G536=0,F536=""),"",F536/G536)</f>
        <v/>
      </c>
      <c r="J536" s="38" t="n"/>
      <c r="K536" s="38" t="n"/>
      <c r="L536" s="38" t="n"/>
    </row>
    <row r="537">
      <c r="A537" s="33" t="n"/>
      <c r="B537" s="32" t="n"/>
      <c r="C537" s="41" t="n"/>
      <c r="D537" s="58" t="n"/>
      <c r="E537" s="59" t="n"/>
      <c r="F537" s="55">
        <f>IF(OR(D537="",E537=""),"",D537*E537)</f>
        <v/>
      </c>
      <c r="G537" s="48">
        <f>IF(OR(B537="",C537=""),"",IFERROR(IF(MAXIFS($C$4:C536,$B$4:B536,B537)=0,"",C537-MAXIFS($C$4:C536,$B$4:B536,B537)),""))</f>
        <v/>
      </c>
      <c r="H537" s="56">
        <f>IF(OR(G537="",G537=0,D537=""),"",D537/G537*100)</f>
        <v/>
      </c>
      <c r="I537" s="57">
        <f>IF(OR(G537="",G537=0,F537=""),"",F537/G537)</f>
        <v/>
      </c>
      <c r="J537" s="40" t="n"/>
      <c r="K537" s="40" t="n"/>
      <c r="L537" s="40" t="n"/>
    </row>
    <row r="538">
      <c r="A538" s="35" t="n"/>
      <c r="B538" s="34" t="n"/>
      <c r="C538" s="39" t="n"/>
      <c r="D538" s="53" t="n"/>
      <c r="E538" s="54" t="n"/>
      <c r="F538" s="55">
        <f>IF(OR(D538="",E538=""),"",D538*E538)</f>
        <v/>
      </c>
      <c r="G538" s="48">
        <f>IF(OR(B538="",C538=""),"",IFERROR(IF(MAXIFS($C$4:C537,$B$4:B537,B538)=0,"",C538-MAXIFS($C$4:C537,$B$4:B537,B538)),""))</f>
        <v/>
      </c>
      <c r="H538" s="56">
        <f>IF(OR(G538="",G538=0,D538=""),"",D538/G538*100)</f>
        <v/>
      </c>
      <c r="I538" s="57">
        <f>IF(OR(G538="",G538=0,F538=""),"",F538/G538)</f>
        <v/>
      </c>
      <c r="J538" s="38" t="n"/>
      <c r="K538" s="38" t="n"/>
      <c r="L538" s="38" t="n"/>
    </row>
    <row r="539">
      <c r="A539" s="33" t="n"/>
      <c r="B539" s="32" t="n"/>
      <c r="C539" s="41" t="n"/>
      <c r="D539" s="58" t="n"/>
      <c r="E539" s="59" t="n"/>
      <c r="F539" s="55">
        <f>IF(OR(D539="",E539=""),"",D539*E539)</f>
        <v/>
      </c>
      <c r="G539" s="48">
        <f>IF(OR(B539="",C539=""),"",IFERROR(IF(MAXIFS($C$4:C538,$B$4:B538,B539)=0,"",C539-MAXIFS($C$4:C538,$B$4:B538,B539)),""))</f>
        <v/>
      </c>
      <c r="H539" s="56">
        <f>IF(OR(G539="",G539=0,D539=""),"",D539/G539*100)</f>
        <v/>
      </c>
      <c r="I539" s="57">
        <f>IF(OR(G539="",G539=0,F539=""),"",F539/G539)</f>
        <v/>
      </c>
      <c r="J539" s="40" t="n"/>
      <c r="K539" s="40" t="n"/>
      <c r="L539" s="40" t="n"/>
    </row>
    <row r="540">
      <c r="A540" s="35" t="n"/>
      <c r="B540" s="34" t="n"/>
      <c r="C540" s="39" t="n"/>
      <c r="D540" s="53" t="n"/>
      <c r="E540" s="54" t="n"/>
      <c r="F540" s="55">
        <f>IF(OR(D540="",E540=""),"",D540*E540)</f>
        <v/>
      </c>
      <c r="G540" s="48">
        <f>IF(OR(B540="",C540=""),"",IFERROR(IF(MAXIFS($C$4:C539,$B$4:B539,B540)=0,"",C540-MAXIFS($C$4:C539,$B$4:B539,B540)),""))</f>
        <v/>
      </c>
      <c r="H540" s="56">
        <f>IF(OR(G540="",G540=0,D540=""),"",D540/G540*100)</f>
        <v/>
      </c>
      <c r="I540" s="57">
        <f>IF(OR(G540="",G540=0,F540=""),"",F540/G540)</f>
        <v/>
      </c>
      <c r="J540" s="38" t="n"/>
      <c r="K540" s="38" t="n"/>
      <c r="L540" s="38" t="n"/>
    </row>
    <row r="541">
      <c r="A541" s="33" t="n"/>
      <c r="B541" s="32" t="n"/>
      <c r="C541" s="41" t="n"/>
      <c r="D541" s="58" t="n"/>
      <c r="E541" s="59" t="n"/>
      <c r="F541" s="55">
        <f>IF(OR(D541="",E541=""),"",D541*E541)</f>
        <v/>
      </c>
      <c r="G541" s="48">
        <f>IF(OR(B541="",C541=""),"",IFERROR(IF(MAXIFS($C$4:C540,$B$4:B540,B541)=0,"",C541-MAXIFS($C$4:C540,$B$4:B540,B541)),""))</f>
        <v/>
      </c>
      <c r="H541" s="56">
        <f>IF(OR(G541="",G541=0,D541=""),"",D541/G541*100)</f>
        <v/>
      </c>
      <c r="I541" s="57">
        <f>IF(OR(G541="",G541=0,F541=""),"",F541/G541)</f>
        <v/>
      </c>
      <c r="J541" s="40" t="n"/>
      <c r="K541" s="40" t="n"/>
      <c r="L541" s="40" t="n"/>
    </row>
    <row r="542">
      <c r="A542" s="35" t="n"/>
      <c r="B542" s="34" t="n"/>
      <c r="C542" s="39" t="n"/>
      <c r="D542" s="53" t="n"/>
      <c r="E542" s="54" t="n"/>
      <c r="F542" s="55">
        <f>IF(OR(D542="",E542=""),"",D542*E542)</f>
        <v/>
      </c>
      <c r="G542" s="48">
        <f>IF(OR(B542="",C542=""),"",IFERROR(IF(MAXIFS($C$4:C541,$B$4:B541,B542)=0,"",C542-MAXIFS($C$4:C541,$B$4:B541,B542)),""))</f>
        <v/>
      </c>
      <c r="H542" s="56">
        <f>IF(OR(G542="",G542=0,D542=""),"",D542/G542*100)</f>
        <v/>
      </c>
      <c r="I542" s="57">
        <f>IF(OR(G542="",G542=0,F542=""),"",F542/G542)</f>
        <v/>
      </c>
      <c r="J542" s="38" t="n"/>
      <c r="K542" s="38" t="n"/>
      <c r="L542" s="38" t="n"/>
    </row>
    <row r="543">
      <c r="A543" s="33" t="n"/>
      <c r="B543" s="32" t="n"/>
      <c r="C543" s="41" t="n"/>
      <c r="D543" s="58" t="n"/>
      <c r="E543" s="59" t="n"/>
      <c r="F543" s="55">
        <f>IF(OR(D543="",E543=""),"",D543*E543)</f>
        <v/>
      </c>
      <c r="G543" s="48">
        <f>IF(OR(B543="",C543=""),"",IFERROR(IF(MAXIFS($C$4:C542,$B$4:B542,B543)=0,"",C543-MAXIFS($C$4:C542,$B$4:B542,B543)),""))</f>
        <v/>
      </c>
      <c r="H543" s="56">
        <f>IF(OR(G543="",G543=0,D543=""),"",D543/G543*100)</f>
        <v/>
      </c>
      <c r="I543" s="57">
        <f>IF(OR(G543="",G543=0,F543=""),"",F543/G543)</f>
        <v/>
      </c>
      <c r="J543" s="40" t="n"/>
      <c r="K543" s="40" t="n"/>
      <c r="L543" s="40" t="n"/>
    </row>
    <row r="544">
      <c r="A544" s="35" t="n"/>
      <c r="B544" s="34" t="n"/>
      <c r="C544" s="39" t="n"/>
      <c r="D544" s="53" t="n"/>
      <c r="E544" s="54" t="n"/>
      <c r="F544" s="55">
        <f>IF(OR(D544="",E544=""),"",D544*E544)</f>
        <v/>
      </c>
      <c r="G544" s="48">
        <f>IF(OR(B544="",C544=""),"",IFERROR(IF(MAXIFS($C$4:C543,$B$4:B543,B544)=0,"",C544-MAXIFS($C$4:C543,$B$4:B543,B544)),""))</f>
        <v/>
      </c>
      <c r="H544" s="56">
        <f>IF(OR(G544="",G544=0,D544=""),"",D544/G544*100)</f>
        <v/>
      </c>
      <c r="I544" s="57">
        <f>IF(OR(G544="",G544=0,F544=""),"",F544/G544)</f>
        <v/>
      </c>
      <c r="J544" s="38" t="n"/>
      <c r="K544" s="38" t="n"/>
      <c r="L544" s="38" t="n"/>
    </row>
    <row r="545">
      <c r="A545" s="33" t="n"/>
      <c r="B545" s="32" t="n"/>
      <c r="C545" s="41" t="n"/>
      <c r="D545" s="58" t="n"/>
      <c r="E545" s="59" t="n"/>
      <c r="F545" s="55">
        <f>IF(OR(D545="",E545=""),"",D545*E545)</f>
        <v/>
      </c>
      <c r="G545" s="48">
        <f>IF(OR(B545="",C545=""),"",IFERROR(IF(MAXIFS($C$4:C544,$B$4:B544,B545)=0,"",C545-MAXIFS($C$4:C544,$B$4:B544,B545)),""))</f>
        <v/>
      </c>
      <c r="H545" s="56">
        <f>IF(OR(G545="",G545=0,D545=""),"",D545/G545*100)</f>
        <v/>
      </c>
      <c r="I545" s="57">
        <f>IF(OR(G545="",G545=0,F545=""),"",F545/G545)</f>
        <v/>
      </c>
      <c r="J545" s="40" t="n"/>
      <c r="K545" s="40" t="n"/>
      <c r="L545" s="40" t="n"/>
    </row>
    <row r="546">
      <c r="A546" s="35" t="n"/>
      <c r="B546" s="34" t="n"/>
      <c r="C546" s="39" t="n"/>
      <c r="D546" s="53" t="n"/>
      <c r="E546" s="54" t="n"/>
      <c r="F546" s="55">
        <f>IF(OR(D546="",E546=""),"",D546*E546)</f>
        <v/>
      </c>
      <c r="G546" s="48">
        <f>IF(OR(B546="",C546=""),"",IFERROR(IF(MAXIFS($C$4:C545,$B$4:B545,B546)=0,"",C546-MAXIFS($C$4:C545,$B$4:B545,B546)),""))</f>
        <v/>
      </c>
      <c r="H546" s="56">
        <f>IF(OR(G546="",G546=0,D546=""),"",D546/G546*100)</f>
        <v/>
      </c>
      <c r="I546" s="57">
        <f>IF(OR(G546="",G546=0,F546=""),"",F546/G546)</f>
        <v/>
      </c>
      <c r="J546" s="38" t="n"/>
      <c r="K546" s="38" t="n"/>
      <c r="L546" s="38" t="n"/>
    </row>
    <row r="547">
      <c r="A547" s="33" t="n"/>
      <c r="B547" s="32" t="n"/>
      <c r="C547" s="41" t="n"/>
      <c r="D547" s="58" t="n"/>
      <c r="E547" s="59" t="n"/>
      <c r="F547" s="55">
        <f>IF(OR(D547="",E547=""),"",D547*E547)</f>
        <v/>
      </c>
      <c r="G547" s="48">
        <f>IF(OR(B547="",C547=""),"",IFERROR(IF(MAXIFS($C$4:C546,$B$4:B546,B547)=0,"",C547-MAXIFS($C$4:C546,$B$4:B546,B547)),""))</f>
        <v/>
      </c>
      <c r="H547" s="56">
        <f>IF(OR(G547="",G547=0,D547=""),"",D547/G547*100)</f>
        <v/>
      </c>
      <c r="I547" s="57">
        <f>IF(OR(G547="",G547=0,F547=""),"",F547/G547)</f>
        <v/>
      </c>
      <c r="J547" s="40" t="n"/>
      <c r="K547" s="40" t="n"/>
      <c r="L547" s="40" t="n"/>
    </row>
    <row r="548">
      <c r="A548" s="35" t="n"/>
      <c r="B548" s="34" t="n"/>
      <c r="C548" s="39" t="n"/>
      <c r="D548" s="53" t="n"/>
      <c r="E548" s="54" t="n"/>
      <c r="F548" s="55">
        <f>IF(OR(D548="",E548=""),"",D548*E548)</f>
        <v/>
      </c>
      <c r="G548" s="48">
        <f>IF(OR(B548="",C548=""),"",IFERROR(IF(MAXIFS($C$4:C547,$B$4:B547,B548)=0,"",C548-MAXIFS($C$4:C547,$B$4:B547,B548)),""))</f>
        <v/>
      </c>
      <c r="H548" s="56">
        <f>IF(OR(G548="",G548=0,D548=""),"",D548/G548*100)</f>
        <v/>
      </c>
      <c r="I548" s="57">
        <f>IF(OR(G548="",G548=0,F548=""),"",F548/G548)</f>
        <v/>
      </c>
      <c r="J548" s="38" t="n"/>
      <c r="K548" s="38" t="n"/>
      <c r="L548" s="38" t="n"/>
    </row>
    <row r="549">
      <c r="A549" s="33" t="n"/>
      <c r="B549" s="32" t="n"/>
      <c r="C549" s="41" t="n"/>
      <c r="D549" s="58" t="n"/>
      <c r="E549" s="59" t="n"/>
      <c r="F549" s="55">
        <f>IF(OR(D549="",E549=""),"",D549*E549)</f>
        <v/>
      </c>
      <c r="G549" s="48">
        <f>IF(OR(B549="",C549=""),"",IFERROR(IF(MAXIFS($C$4:C548,$B$4:B548,B549)=0,"",C549-MAXIFS($C$4:C548,$B$4:B548,B549)),""))</f>
        <v/>
      </c>
      <c r="H549" s="56">
        <f>IF(OR(G549="",G549=0,D549=""),"",D549/G549*100)</f>
        <v/>
      </c>
      <c r="I549" s="57">
        <f>IF(OR(G549="",G549=0,F549=""),"",F549/G549)</f>
        <v/>
      </c>
      <c r="J549" s="40" t="n"/>
      <c r="K549" s="40" t="n"/>
      <c r="L549" s="40" t="n"/>
    </row>
    <row r="550">
      <c r="A550" s="35" t="n"/>
      <c r="B550" s="34" t="n"/>
      <c r="C550" s="39" t="n"/>
      <c r="D550" s="53" t="n"/>
      <c r="E550" s="54" t="n"/>
      <c r="F550" s="55">
        <f>IF(OR(D550="",E550=""),"",D550*E550)</f>
        <v/>
      </c>
      <c r="G550" s="48">
        <f>IF(OR(B550="",C550=""),"",IFERROR(IF(MAXIFS($C$4:C549,$B$4:B549,B550)=0,"",C550-MAXIFS($C$4:C549,$B$4:B549,B550)),""))</f>
        <v/>
      </c>
      <c r="H550" s="56">
        <f>IF(OR(G550="",G550=0,D550=""),"",D550/G550*100)</f>
        <v/>
      </c>
      <c r="I550" s="57">
        <f>IF(OR(G550="",G550=0,F550=""),"",F550/G550)</f>
        <v/>
      </c>
      <c r="J550" s="38" t="n"/>
      <c r="K550" s="38" t="n"/>
      <c r="L550" s="38" t="n"/>
    </row>
    <row r="551">
      <c r="A551" s="33" t="n"/>
      <c r="B551" s="32" t="n"/>
      <c r="C551" s="41" t="n"/>
      <c r="D551" s="58" t="n"/>
      <c r="E551" s="59" t="n"/>
      <c r="F551" s="55">
        <f>IF(OR(D551="",E551=""),"",D551*E551)</f>
        <v/>
      </c>
      <c r="G551" s="48">
        <f>IF(OR(B551="",C551=""),"",IFERROR(IF(MAXIFS($C$4:C550,$B$4:B550,B551)=0,"",C551-MAXIFS($C$4:C550,$B$4:B550,B551)),""))</f>
        <v/>
      </c>
      <c r="H551" s="56">
        <f>IF(OR(G551="",G551=0,D551=""),"",D551/G551*100)</f>
        <v/>
      </c>
      <c r="I551" s="57">
        <f>IF(OR(G551="",G551=0,F551=""),"",F551/G551)</f>
        <v/>
      </c>
      <c r="J551" s="40" t="n"/>
      <c r="K551" s="40" t="n"/>
      <c r="L551" s="40" t="n"/>
    </row>
    <row r="552">
      <c r="A552" s="35" t="n"/>
      <c r="B552" s="34" t="n"/>
      <c r="C552" s="39" t="n"/>
      <c r="D552" s="53" t="n"/>
      <c r="E552" s="54" t="n"/>
      <c r="F552" s="55">
        <f>IF(OR(D552="",E552=""),"",D552*E552)</f>
        <v/>
      </c>
      <c r="G552" s="48">
        <f>IF(OR(B552="",C552=""),"",IFERROR(IF(MAXIFS($C$4:C551,$B$4:B551,B552)=0,"",C552-MAXIFS($C$4:C551,$B$4:B551,B552)),""))</f>
        <v/>
      </c>
      <c r="H552" s="56">
        <f>IF(OR(G552="",G552=0,D552=""),"",D552/G552*100)</f>
        <v/>
      </c>
      <c r="I552" s="57">
        <f>IF(OR(G552="",G552=0,F552=""),"",F552/G552)</f>
        <v/>
      </c>
      <c r="J552" s="38" t="n"/>
      <c r="K552" s="38" t="n"/>
      <c r="L552" s="38" t="n"/>
    </row>
    <row r="553">
      <c r="A553" s="33" t="n"/>
      <c r="B553" s="32" t="n"/>
      <c r="C553" s="41" t="n"/>
      <c r="D553" s="58" t="n"/>
      <c r="E553" s="59" t="n"/>
      <c r="F553" s="55">
        <f>IF(OR(D553="",E553=""),"",D553*E553)</f>
        <v/>
      </c>
      <c r="G553" s="48">
        <f>IF(OR(B553="",C553=""),"",IFERROR(IF(MAXIFS($C$4:C552,$B$4:B552,B553)=0,"",C553-MAXIFS($C$4:C552,$B$4:B552,B553)),""))</f>
        <v/>
      </c>
      <c r="H553" s="56">
        <f>IF(OR(G553="",G553=0,D553=""),"",D553/G553*100)</f>
        <v/>
      </c>
      <c r="I553" s="57">
        <f>IF(OR(G553="",G553=0,F553=""),"",F553/G553)</f>
        <v/>
      </c>
      <c r="J553" s="40" t="n"/>
      <c r="K553" s="40" t="n"/>
      <c r="L553" s="40" t="n"/>
    </row>
    <row r="554">
      <c r="A554" s="35" t="n"/>
      <c r="B554" s="34" t="n"/>
      <c r="C554" s="39" t="n"/>
      <c r="D554" s="53" t="n"/>
      <c r="E554" s="54" t="n"/>
      <c r="F554" s="55">
        <f>IF(OR(D554="",E554=""),"",D554*E554)</f>
        <v/>
      </c>
      <c r="G554" s="48">
        <f>IF(OR(B554="",C554=""),"",IFERROR(IF(MAXIFS($C$4:C553,$B$4:B553,B554)=0,"",C554-MAXIFS($C$4:C553,$B$4:B553,B554)),""))</f>
        <v/>
      </c>
      <c r="H554" s="56">
        <f>IF(OR(G554="",G554=0,D554=""),"",D554/G554*100)</f>
        <v/>
      </c>
      <c r="I554" s="57">
        <f>IF(OR(G554="",G554=0,F554=""),"",F554/G554)</f>
        <v/>
      </c>
      <c r="J554" s="38" t="n"/>
      <c r="K554" s="38" t="n"/>
      <c r="L554" s="38" t="n"/>
    </row>
    <row r="555">
      <c r="A555" s="33" t="n"/>
      <c r="B555" s="32" t="n"/>
      <c r="C555" s="41" t="n"/>
      <c r="D555" s="58" t="n"/>
      <c r="E555" s="59" t="n"/>
      <c r="F555" s="55">
        <f>IF(OR(D555="",E555=""),"",D555*E555)</f>
        <v/>
      </c>
      <c r="G555" s="48">
        <f>IF(OR(B555="",C555=""),"",IFERROR(IF(MAXIFS($C$4:C554,$B$4:B554,B555)=0,"",C555-MAXIFS($C$4:C554,$B$4:B554,B555)),""))</f>
        <v/>
      </c>
      <c r="H555" s="56">
        <f>IF(OR(G555="",G555=0,D555=""),"",D555/G555*100)</f>
        <v/>
      </c>
      <c r="I555" s="57">
        <f>IF(OR(G555="",G555=0,F555=""),"",F555/G555)</f>
        <v/>
      </c>
      <c r="J555" s="40" t="n"/>
      <c r="K555" s="40" t="n"/>
      <c r="L555" s="40" t="n"/>
    </row>
    <row r="556">
      <c r="A556" s="35" t="n"/>
      <c r="B556" s="34" t="n"/>
      <c r="C556" s="39" t="n"/>
      <c r="D556" s="53" t="n"/>
      <c r="E556" s="54" t="n"/>
      <c r="F556" s="55">
        <f>IF(OR(D556="",E556=""),"",D556*E556)</f>
        <v/>
      </c>
      <c r="G556" s="48">
        <f>IF(OR(B556="",C556=""),"",IFERROR(IF(MAXIFS($C$4:C555,$B$4:B555,B556)=0,"",C556-MAXIFS($C$4:C555,$B$4:B555,B556)),""))</f>
        <v/>
      </c>
      <c r="H556" s="56">
        <f>IF(OR(G556="",G556=0,D556=""),"",D556/G556*100)</f>
        <v/>
      </c>
      <c r="I556" s="57">
        <f>IF(OR(G556="",G556=0,F556=""),"",F556/G556)</f>
        <v/>
      </c>
      <c r="J556" s="38" t="n"/>
      <c r="K556" s="38" t="n"/>
      <c r="L556" s="38" t="n"/>
    </row>
    <row r="557">
      <c r="A557" s="33" t="n"/>
      <c r="B557" s="32" t="n"/>
      <c r="C557" s="41" t="n"/>
      <c r="D557" s="58" t="n"/>
      <c r="E557" s="59" t="n"/>
      <c r="F557" s="55">
        <f>IF(OR(D557="",E557=""),"",D557*E557)</f>
        <v/>
      </c>
      <c r="G557" s="48">
        <f>IF(OR(B557="",C557=""),"",IFERROR(IF(MAXIFS($C$4:C556,$B$4:B556,B557)=0,"",C557-MAXIFS($C$4:C556,$B$4:B556,B557)),""))</f>
        <v/>
      </c>
      <c r="H557" s="56">
        <f>IF(OR(G557="",G557=0,D557=""),"",D557/G557*100)</f>
        <v/>
      </c>
      <c r="I557" s="57">
        <f>IF(OR(G557="",G557=0,F557=""),"",F557/G557)</f>
        <v/>
      </c>
      <c r="J557" s="40" t="n"/>
      <c r="K557" s="40" t="n"/>
      <c r="L557" s="40" t="n"/>
    </row>
    <row r="558">
      <c r="A558" s="35" t="n"/>
      <c r="B558" s="34" t="n"/>
      <c r="C558" s="39" t="n"/>
      <c r="D558" s="53" t="n"/>
      <c r="E558" s="54" t="n"/>
      <c r="F558" s="55">
        <f>IF(OR(D558="",E558=""),"",D558*E558)</f>
        <v/>
      </c>
      <c r="G558" s="48">
        <f>IF(OR(B558="",C558=""),"",IFERROR(IF(MAXIFS($C$4:C557,$B$4:B557,B558)=0,"",C558-MAXIFS($C$4:C557,$B$4:B557,B558)),""))</f>
        <v/>
      </c>
      <c r="H558" s="56">
        <f>IF(OR(G558="",G558=0,D558=""),"",D558/G558*100)</f>
        <v/>
      </c>
      <c r="I558" s="57">
        <f>IF(OR(G558="",G558=0,F558=""),"",F558/G558)</f>
        <v/>
      </c>
      <c r="J558" s="38" t="n"/>
      <c r="K558" s="38" t="n"/>
      <c r="L558" s="38" t="n"/>
    </row>
    <row r="559">
      <c r="A559" s="33" t="n"/>
      <c r="B559" s="32" t="n"/>
      <c r="C559" s="41" t="n"/>
      <c r="D559" s="58" t="n"/>
      <c r="E559" s="59" t="n"/>
      <c r="F559" s="55">
        <f>IF(OR(D559="",E559=""),"",D559*E559)</f>
        <v/>
      </c>
      <c r="G559" s="48">
        <f>IF(OR(B559="",C559=""),"",IFERROR(IF(MAXIFS($C$4:C558,$B$4:B558,B559)=0,"",C559-MAXIFS($C$4:C558,$B$4:B558,B559)),""))</f>
        <v/>
      </c>
      <c r="H559" s="56">
        <f>IF(OR(G559="",G559=0,D559=""),"",D559/G559*100)</f>
        <v/>
      </c>
      <c r="I559" s="57">
        <f>IF(OR(G559="",G559=0,F559=""),"",F559/G559)</f>
        <v/>
      </c>
      <c r="J559" s="40" t="n"/>
      <c r="K559" s="40" t="n"/>
      <c r="L559" s="40" t="n"/>
    </row>
    <row r="560">
      <c r="A560" s="35" t="n"/>
      <c r="B560" s="34" t="n"/>
      <c r="C560" s="39" t="n"/>
      <c r="D560" s="53" t="n"/>
      <c r="E560" s="54" t="n"/>
      <c r="F560" s="55">
        <f>IF(OR(D560="",E560=""),"",D560*E560)</f>
        <v/>
      </c>
      <c r="G560" s="48">
        <f>IF(OR(B560="",C560=""),"",IFERROR(IF(MAXIFS($C$4:C559,$B$4:B559,B560)=0,"",C560-MAXIFS($C$4:C559,$B$4:B559,B560)),""))</f>
        <v/>
      </c>
      <c r="H560" s="56">
        <f>IF(OR(G560="",G560=0,D560=""),"",D560/G560*100)</f>
        <v/>
      </c>
      <c r="I560" s="57">
        <f>IF(OR(G560="",G560=0,F560=""),"",F560/G560)</f>
        <v/>
      </c>
      <c r="J560" s="38" t="n"/>
      <c r="K560" s="38" t="n"/>
      <c r="L560" s="38" t="n"/>
    </row>
    <row r="561">
      <c r="A561" s="33" t="n"/>
      <c r="B561" s="32" t="n"/>
      <c r="C561" s="41" t="n"/>
      <c r="D561" s="58" t="n"/>
      <c r="E561" s="59" t="n"/>
      <c r="F561" s="55">
        <f>IF(OR(D561="",E561=""),"",D561*E561)</f>
        <v/>
      </c>
      <c r="G561" s="48">
        <f>IF(OR(B561="",C561=""),"",IFERROR(IF(MAXIFS($C$4:C560,$B$4:B560,B561)=0,"",C561-MAXIFS($C$4:C560,$B$4:B560,B561)),""))</f>
        <v/>
      </c>
      <c r="H561" s="56">
        <f>IF(OR(G561="",G561=0,D561=""),"",D561/G561*100)</f>
        <v/>
      </c>
      <c r="I561" s="57">
        <f>IF(OR(G561="",G561=0,F561=""),"",F561/G561)</f>
        <v/>
      </c>
      <c r="J561" s="40" t="n"/>
      <c r="K561" s="40" t="n"/>
      <c r="L561" s="40" t="n"/>
    </row>
    <row r="562">
      <c r="A562" s="35" t="n"/>
      <c r="B562" s="34" t="n"/>
      <c r="C562" s="39" t="n"/>
      <c r="D562" s="53" t="n"/>
      <c r="E562" s="54" t="n"/>
      <c r="F562" s="55">
        <f>IF(OR(D562="",E562=""),"",D562*E562)</f>
        <v/>
      </c>
      <c r="G562" s="48">
        <f>IF(OR(B562="",C562=""),"",IFERROR(IF(MAXIFS($C$4:C561,$B$4:B561,B562)=0,"",C562-MAXIFS($C$4:C561,$B$4:B561,B562)),""))</f>
        <v/>
      </c>
      <c r="H562" s="56">
        <f>IF(OR(G562="",G562=0,D562=""),"",D562/G562*100)</f>
        <v/>
      </c>
      <c r="I562" s="57">
        <f>IF(OR(G562="",G562=0,F562=""),"",F562/G562)</f>
        <v/>
      </c>
      <c r="J562" s="38" t="n"/>
      <c r="K562" s="38" t="n"/>
      <c r="L562" s="38" t="n"/>
    </row>
    <row r="563">
      <c r="A563" s="33" t="n"/>
      <c r="B563" s="32" t="n"/>
      <c r="C563" s="41" t="n"/>
      <c r="D563" s="58" t="n"/>
      <c r="E563" s="59" t="n"/>
      <c r="F563" s="55">
        <f>IF(OR(D563="",E563=""),"",D563*E563)</f>
        <v/>
      </c>
      <c r="G563" s="48">
        <f>IF(OR(B563="",C563=""),"",IFERROR(IF(MAXIFS($C$4:C562,$B$4:B562,B563)=0,"",C563-MAXIFS($C$4:C562,$B$4:B562,B563)),""))</f>
        <v/>
      </c>
      <c r="H563" s="56">
        <f>IF(OR(G563="",G563=0,D563=""),"",D563/G563*100)</f>
        <v/>
      </c>
      <c r="I563" s="57">
        <f>IF(OR(G563="",G563=0,F563=""),"",F563/G563)</f>
        <v/>
      </c>
      <c r="J563" s="40" t="n"/>
      <c r="K563" s="40" t="n"/>
      <c r="L563" s="40" t="n"/>
    </row>
    <row r="564">
      <c r="A564" s="35" t="n"/>
      <c r="B564" s="34" t="n"/>
      <c r="C564" s="39" t="n"/>
      <c r="D564" s="53" t="n"/>
      <c r="E564" s="54" t="n"/>
      <c r="F564" s="55">
        <f>IF(OR(D564="",E564=""),"",D564*E564)</f>
        <v/>
      </c>
      <c r="G564" s="48">
        <f>IF(OR(B564="",C564=""),"",IFERROR(IF(MAXIFS($C$4:C563,$B$4:B563,B564)=0,"",C564-MAXIFS($C$4:C563,$B$4:B563,B564)),""))</f>
        <v/>
      </c>
      <c r="H564" s="56">
        <f>IF(OR(G564="",G564=0,D564=""),"",D564/G564*100)</f>
        <v/>
      </c>
      <c r="I564" s="57">
        <f>IF(OR(G564="",G564=0,F564=""),"",F564/G564)</f>
        <v/>
      </c>
      <c r="J564" s="38" t="n"/>
      <c r="K564" s="38" t="n"/>
      <c r="L564" s="38" t="n"/>
    </row>
    <row r="565">
      <c r="A565" s="33" t="n"/>
      <c r="B565" s="32" t="n"/>
      <c r="C565" s="41" t="n"/>
      <c r="D565" s="58" t="n"/>
      <c r="E565" s="59" t="n"/>
      <c r="F565" s="55">
        <f>IF(OR(D565="",E565=""),"",D565*E565)</f>
        <v/>
      </c>
      <c r="G565" s="48">
        <f>IF(OR(B565="",C565=""),"",IFERROR(IF(MAXIFS($C$4:C564,$B$4:B564,B565)=0,"",C565-MAXIFS($C$4:C564,$B$4:B564,B565)),""))</f>
        <v/>
      </c>
      <c r="H565" s="56">
        <f>IF(OR(G565="",G565=0,D565=""),"",D565/G565*100)</f>
        <v/>
      </c>
      <c r="I565" s="57">
        <f>IF(OR(G565="",G565=0,F565=""),"",F565/G565)</f>
        <v/>
      </c>
      <c r="J565" s="40" t="n"/>
      <c r="K565" s="40" t="n"/>
      <c r="L565" s="40" t="n"/>
    </row>
    <row r="566">
      <c r="A566" s="35" t="n"/>
      <c r="B566" s="34" t="n"/>
      <c r="C566" s="39" t="n"/>
      <c r="D566" s="53" t="n"/>
      <c r="E566" s="54" t="n"/>
      <c r="F566" s="55">
        <f>IF(OR(D566="",E566=""),"",D566*E566)</f>
        <v/>
      </c>
      <c r="G566" s="48">
        <f>IF(OR(B566="",C566=""),"",IFERROR(IF(MAXIFS($C$4:C565,$B$4:B565,B566)=0,"",C566-MAXIFS($C$4:C565,$B$4:B565,B566)),""))</f>
        <v/>
      </c>
      <c r="H566" s="56">
        <f>IF(OR(G566="",G566=0,D566=""),"",D566/G566*100)</f>
        <v/>
      </c>
      <c r="I566" s="57">
        <f>IF(OR(G566="",G566=0,F566=""),"",F566/G566)</f>
        <v/>
      </c>
      <c r="J566" s="38" t="n"/>
      <c r="K566" s="38" t="n"/>
      <c r="L566" s="38" t="n"/>
    </row>
    <row r="567">
      <c r="A567" s="33" t="n"/>
      <c r="B567" s="32" t="n"/>
      <c r="C567" s="41" t="n"/>
      <c r="D567" s="58" t="n"/>
      <c r="E567" s="59" t="n"/>
      <c r="F567" s="55">
        <f>IF(OR(D567="",E567=""),"",D567*E567)</f>
        <v/>
      </c>
      <c r="G567" s="48">
        <f>IF(OR(B567="",C567=""),"",IFERROR(IF(MAXIFS($C$4:C566,$B$4:B566,B567)=0,"",C567-MAXIFS($C$4:C566,$B$4:B566,B567)),""))</f>
        <v/>
      </c>
      <c r="H567" s="56">
        <f>IF(OR(G567="",G567=0,D567=""),"",D567/G567*100)</f>
        <v/>
      </c>
      <c r="I567" s="57">
        <f>IF(OR(G567="",G567=0,F567=""),"",F567/G567)</f>
        <v/>
      </c>
      <c r="J567" s="40" t="n"/>
      <c r="K567" s="40" t="n"/>
      <c r="L567" s="40" t="n"/>
    </row>
    <row r="568">
      <c r="A568" s="35" t="n"/>
      <c r="B568" s="34" t="n"/>
      <c r="C568" s="39" t="n"/>
      <c r="D568" s="53" t="n"/>
      <c r="E568" s="54" t="n"/>
      <c r="F568" s="55">
        <f>IF(OR(D568="",E568=""),"",D568*E568)</f>
        <v/>
      </c>
      <c r="G568" s="48">
        <f>IF(OR(B568="",C568=""),"",IFERROR(IF(MAXIFS($C$4:C567,$B$4:B567,B568)=0,"",C568-MAXIFS($C$4:C567,$B$4:B567,B568)),""))</f>
        <v/>
      </c>
      <c r="H568" s="56">
        <f>IF(OR(G568="",G568=0,D568=""),"",D568/G568*100)</f>
        <v/>
      </c>
      <c r="I568" s="57">
        <f>IF(OR(G568="",G568=0,F568=""),"",F568/G568)</f>
        <v/>
      </c>
      <c r="J568" s="38" t="n"/>
      <c r="K568" s="38" t="n"/>
      <c r="L568" s="38" t="n"/>
    </row>
    <row r="569">
      <c r="A569" s="33" t="n"/>
      <c r="B569" s="32" t="n"/>
      <c r="C569" s="41" t="n"/>
      <c r="D569" s="58" t="n"/>
      <c r="E569" s="59" t="n"/>
      <c r="F569" s="55">
        <f>IF(OR(D569="",E569=""),"",D569*E569)</f>
        <v/>
      </c>
      <c r="G569" s="48">
        <f>IF(OR(B569="",C569=""),"",IFERROR(IF(MAXIFS($C$4:C568,$B$4:B568,B569)=0,"",C569-MAXIFS($C$4:C568,$B$4:B568,B569)),""))</f>
        <v/>
      </c>
      <c r="H569" s="56">
        <f>IF(OR(G569="",G569=0,D569=""),"",D569/G569*100)</f>
        <v/>
      </c>
      <c r="I569" s="57">
        <f>IF(OR(G569="",G569=0,F569=""),"",F569/G569)</f>
        <v/>
      </c>
      <c r="J569" s="40" t="n"/>
      <c r="K569" s="40" t="n"/>
      <c r="L569" s="40" t="n"/>
    </row>
    <row r="570">
      <c r="A570" s="35" t="n"/>
      <c r="B570" s="34" t="n"/>
      <c r="C570" s="39" t="n"/>
      <c r="D570" s="53" t="n"/>
      <c r="E570" s="54" t="n"/>
      <c r="F570" s="55">
        <f>IF(OR(D570="",E570=""),"",D570*E570)</f>
        <v/>
      </c>
      <c r="G570" s="48">
        <f>IF(OR(B570="",C570=""),"",IFERROR(IF(MAXIFS($C$4:C569,$B$4:B569,B570)=0,"",C570-MAXIFS($C$4:C569,$B$4:B569,B570)),""))</f>
        <v/>
      </c>
      <c r="H570" s="56">
        <f>IF(OR(G570="",G570=0,D570=""),"",D570/G570*100)</f>
        <v/>
      </c>
      <c r="I570" s="57">
        <f>IF(OR(G570="",G570=0,F570=""),"",F570/G570)</f>
        <v/>
      </c>
      <c r="J570" s="38" t="n"/>
      <c r="K570" s="38" t="n"/>
      <c r="L570" s="38" t="n"/>
    </row>
    <row r="571">
      <c r="A571" s="33" t="n"/>
      <c r="B571" s="32" t="n"/>
      <c r="C571" s="41" t="n"/>
      <c r="D571" s="58" t="n"/>
      <c r="E571" s="59" t="n"/>
      <c r="F571" s="55">
        <f>IF(OR(D571="",E571=""),"",D571*E571)</f>
        <v/>
      </c>
      <c r="G571" s="48">
        <f>IF(OR(B571="",C571=""),"",IFERROR(IF(MAXIFS($C$4:C570,$B$4:B570,B571)=0,"",C571-MAXIFS($C$4:C570,$B$4:B570,B571)),""))</f>
        <v/>
      </c>
      <c r="H571" s="56">
        <f>IF(OR(G571="",G571=0,D571=""),"",D571/G571*100)</f>
        <v/>
      </c>
      <c r="I571" s="57">
        <f>IF(OR(G571="",G571=0,F571=""),"",F571/G571)</f>
        <v/>
      </c>
      <c r="J571" s="40" t="n"/>
      <c r="K571" s="40" t="n"/>
      <c r="L571" s="40" t="n"/>
    </row>
    <row r="572">
      <c r="A572" s="35" t="n"/>
      <c r="B572" s="34" t="n"/>
      <c r="C572" s="39" t="n"/>
      <c r="D572" s="53" t="n"/>
      <c r="E572" s="54" t="n"/>
      <c r="F572" s="55">
        <f>IF(OR(D572="",E572=""),"",D572*E572)</f>
        <v/>
      </c>
      <c r="G572" s="48">
        <f>IF(OR(B572="",C572=""),"",IFERROR(IF(MAXIFS($C$4:C571,$B$4:B571,B572)=0,"",C572-MAXIFS($C$4:C571,$B$4:B571,B572)),""))</f>
        <v/>
      </c>
      <c r="H572" s="56">
        <f>IF(OR(G572="",G572=0,D572=""),"",D572/G572*100)</f>
        <v/>
      </c>
      <c r="I572" s="57">
        <f>IF(OR(G572="",G572=0,F572=""),"",F572/G572)</f>
        <v/>
      </c>
      <c r="J572" s="38" t="n"/>
      <c r="K572" s="38" t="n"/>
      <c r="L572" s="38" t="n"/>
    </row>
    <row r="573">
      <c r="A573" s="33" t="n"/>
      <c r="B573" s="32" t="n"/>
      <c r="C573" s="41" t="n"/>
      <c r="D573" s="58" t="n"/>
      <c r="E573" s="59" t="n"/>
      <c r="F573" s="55">
        <f>IF(OR(D573="",E573=""),"",D573*E573)</f>
        <v/>
      </c>
      <c r="G573" s="48">
        <f>IF(OR(B573="",C573=""),"",IFERROR(IF(MAXIFS($C$4:C572,$B$4:B572,B573)=0,"",C573-MAXIFS($C$4:C572,$B$4:B572,B573)),""))</f>
        <v/>
      </c>
      <c r="H573" s="56">
        <f>IF(OR(G573="",G573=0,D573=""),"",D573/G573*100)</f>
        <v/>
      </c>
      <c r="I573" s="57">
        <f>IF(OR(G573="",G573=0,F573=""),"",F573/G573)</f>
        <v/>
      </c>
      <c r="J573" s="40" t="n"/>
      <c r="K573" s="40" t="n"/>
      <c r="L573" s="40" t="n"/>
    </row>
    <row r="574">
      <c r="A574" s="35" t="n"/>
      <c r="B574" s="34" t="n"/>
      <c r="C574" s="39" t="n"/>
      <c r="D574" s="53" t="n"/>
      <c r="E574" s="54" t="n"/>
      <c r="F574" s="55">
        <f>IF(OR(D574="",E574=""),"",D574*E574)</f>
        <v/>
      </c>
      <c r="G574" s="48">
        <f>IF(OR(B574="",C574=""),"",IFERROR(IF(MAXIFS($C$4:C573,$B$4:B573,B574)=0,"",C574-MAXIFS($C$4:C573,$B$4:B573,B574)),""))</f>
        <v/>
      </c>
      <c r="H574" s="56">
        <f>IF(OR(G574="",G574=0,D574=""),"",D574/G574*100)</f>
        <v/>
      </c>
      <c r="I574" s="57">
        <f>IF(OR(G574="",G574=0,F574=""),"",F574/G574)</f>
        <v/>
      </c>
      <c r="J574" s="38" t="n"/>
      <c r="K574" s="38" t="n"/>
      <c r="L574" s="38" t="n"/>
    </row>
    <row r="575">
      <c r="A575" s="33" t="n"/>
      <c r="B575" s="32" t="n"/>
      <c r="C575" s="41" t="n"/>
      <c r="D575" s="58" t="n"/>
      <c r="E575" s="59" t="n"/>
      <c r="F575" s="55">
        <f>IF(OR(D575="",E575=""),"",D575*E575)</f>
        <v/>
      </c>
      <c r="G575" s="48">
        <f>IF(OR(B575="",C575=""),"",IFERROR(IF(MAXIFS($C$4:C574,$B$4:B574,B575)=0,"",C575-MAXIFS($C$4:C574,$B$4:B574,B575)),""))</f>
        <v/>
      </c>
      <c r="H575" s="56">
        <f>IF(OR(G575="",G575=0,D575=""),"",D575/G575*100)</f>
        <v/>
      </c>
      <c r="I575" s="57">
        <f>IF(OR(G575="",G575=0,F575=""),"",F575/G575)</f>
        <v/>
      </c>
      <c r="J575" s="40" t="n"/>
      <c r="K575" s="40" t="n"/>
      <c r="L575" s="40" t="n"/>
    </row>
    <row r="576">
      <c r="A576" s="35" t="n"/>
      <c r="B576" s="34" t="n"/>
      <c r="C576" s="39" t="n"/>
      <c r="D576" s="53" t="n"/>
      <c r="E576" s="54" t="n"/>
      <c r="F576" s="55">
        <f>IF(OR(D576="",E576=""),"",D576*E576)</f>
        <v/>
      </c>
      <c r="G576" s="48">
        <f>IF(OR(B576="",C576=""),"",IFERROR(IF(MAXIFS($C$4:C575,$B$4:B575,B576)=0,"",C576-MAXIFS($C$4:C575,$B$4:B575,B576)),""))</f>
        <v/>
      </c>
      <c r="H576" s="56">
        <f>IF(OR(G576="",G576=0,D576=""),"",D576/G576*100)</f>
        <v/>
      </c>
      <c r="I576" s="57">
        <f>IF(OR(G576="",G576=0,F576=""),"",F576/G576)</f>
        <v/>
      </c>
      <c r="J576" s="38" t="n"/>
      <c r="K576" s="38" t="n"/>
      <c r="L576" s="38" t="n"/>
    </row>
    <row r="577">
      <c r="A577" s="33" t="n"/>
      <c r="B577" s="32" t="n"/>
      <c r="C577" s="41" t="n"/>
      <c r="D577" s="58" t="n"/>
      <c r="E577" s="59" t="n"/>
      <c r="F577" s="55">
        <f>IF(OR(D577="",E577=""),"",D577*E577)</f>
        <v/>
      </c>
      <c r="G577" s="48">
        <f>IF(OR(B577="",C577=""),"",IFERROR(IF(MAXIFS($C$4:C576,$B$4:B576,B577)=0,"",C577-MAXIFS($C$4:C576,$B$4:B576,B577)),""))</f>
        <v/>
      </c>
      <c r="H577" s="56">
        <f>IF(OR(G577="",G577=0,D577=""),"",D577/G577*100)</f>
        <v/>
      </c>
      <c r="I577" s="57">
        <f>IF(OR(G577="",G577=0,F577=""),"",F577/G577)</f>
        <v/>
      </c>
      <c r="J577" s="40" t="n"/>
      <c r="K577" s="40" t="n"/>
      <c r="L577" s="40" t="n"/>
    </row>
    <row r="578">
      <c r="A578" s="35" t="n"/>
      <c r="B578" s="34" t="n"/>
      <c r="C578" s="39" t="n"/>
      <c r="D578" s="53" t="n"/>
      <c r="E578" s="54" t="n"/>
      <c r="F578" s="55">
        <f>IF(OR(D578="",E578=""),"",D578*E578)</f>
        <v/>
      </c>
      <c r="G578" s="48">
        <f>IF(OR(B578="",C578=""),"",IFERROR(IF(MAXIFS($C$4:C577,$B$4:B577,B578)=0,"",C578-MAXIFS($C$4:C577,$B$4:B577,B578)),""))</f>
        <v/>
      </c>
      <c r="H578" s="56">
        <f>IF(OR(G578="",G578=0,D578=""),"",D578/G578*100)</f>
        <v/>
      </c>
      <c r="I578" s="57">
        <f>IF(OR(G578="",G578=0,F578=""),"",F578/G578)</f>
        <v/>
      </c>
      <c r="J578" s="38" t="n"/>
      <c r="K578" s="38" t="n"/>
      <c r="L578" s="38" t="n"/>
    </row>
    <row r="579">
      <c r="A579" s="33" t="n"/>
      <c r="B579" s="32" t="n"/>
      <c r="C579" s="41" t="n"/>
      <c r="D579" s="58" t="n"/>
      <c r="E579" s="59" t="n"/>
      <c r="F579" s="55">
        <f>IF(OR(D579="",E579=""),"",D579*E579)</f>
        <v/>
      </c>
      <c r="G579" s="48">
        <f>IF(OR(B579="",C579=""),"",IFERROR(IF(MAXIFS($C$4:C578,$B$4:B578,B579)=0,"",C579-MAXIFS($C$4:C578,$B$4:B578,B579)),""))</f>
        <v/>
      </c>
      <c r="H579" s="56">
        <f>IF(OR(G579="",G579=0,D579=""),"",D579/G579*100)</f>
        <v/>
      </c>
      <c r="I579" s="57">
        <f>IF(OR(G579="",G579=0,F579=""),"",F579/G579)</f>
        <v/>
      </c>
      <c r="J579" s="40" t="n"/>
      <c r="K579" s="40" t="n"/>
      <c r="L579" s="40" t="n"/>
    </row>
    <row r="580">
      <c r="A580" s="35" t="n"/>
      <c r="B580" s="34" t="n"/>
      <c r="C580" s="39" t="n"/>
      <c r="D580" s="53" t="n"/>
      <c r="E580" s="54" t="n"/>
      <c r="F580" s="55">
        <f>IF(OR(D580="",E580=""),"",D580*E580)</f>
        <v/>
      </c>
      <c r="G580" s="48">
        <f>IF(OR(B580="",C580=""),"",IFERROR(IF(MAXIFS($C$4:C579,$B$4:B579,B580)=0,"",C580-MAXIFS($C$4:C579,$B$4:B579,B580)),""))</f>
        <v/>
      </c>
      <c r="H580" s="56">
        <f>IF(OR(G580="",G580=0,D580=""),"",D580/G580*100)</f>
        <v/>
      </c>
      <c r="I580" s="57">
        <f>IF(OR(G580="",G580=0,F580=""),"",F580/G580)</f>
        <v/>
      </c>
      <c r="J580" s="38" t="n"/>
      <c r="K580" s="38" t="n"/>
      <c r="L580" s="38" t="n"/>
    </row>
    <row r="581">
      <c r="A581" s="33" t="n"/>
      <c r="B581" s="32" t="n"/>
      <c r="C581" s="41" t="n"/>
      <c r="D581" s="58" t="n"/>
      <c r="E581" s="59" t="n"/>
      <c r="F581" s="55">
        <f>IF(OR(D581="",E581=""),"",D581*E581)</f>
        <v/>
      </c>
      <c r="G581" s="48">
        <f>IF(OR(B581="",C581=""),"",IFERROR(IF(MAXIFS($C$4:C580,$B$4:B580,B581)=0,"",C581-MAXIFS($C$4:C580,$B$4:B580,B581)),""))</f>
        <v/>
      </c>
      <c r="H581" s="56">
        <f>IF(OR(G581="",G581=0,D581=""),"",D581/G581*100)</f>
        <v/>
      </c>
      <c r="I581" s="57">
        <f>IF(OR(G581="",G581=0,F581=""),"",F581/G581)</f>
        <v/>
      </c>
      <c r="J581" s="40" t="n"/>
      <c r="K581" s="40" t="n"/>
      <c r="L581" s="40" t="n"/>
    </row>
    <row r="582">
      <c r="A582" s="35" t="n"/>
      <c r="B582" s="34" t="n"/>
      <c r="C582" s="39" t="n"/>
      <c r="D582" s="53" t="n"/>
      <c r="E582" s="54" t="n"/>
      <c r="F582" s="55">
        <f>IF(OR(D582="",E582=""),"",D582*E582)</f>
        <v/>
      </c>
      <c r="G582" s="48">
        <f>IF(OR(B582="",C582=""),"",IFERROR(IF(MAXIFS($C$4:C581,$B$4:B581,B582)=0,"",C582-MAXIFS($C$4:C581,$B$4:B581,B582)),""))</f>
        <v/>
      </c>
      <c r="H582" s="56">
        <f>IF(OR(G582="",G582=0,D582=""),"",D582/G582*100)</f>
        <v/>
      </c>
      <c r="I582" s="57">
        <f>IF(OR(G582="",G582=0,F582=""),"",F582/G582)</f>
        <v/>
      </c>
      <c r="J582" s="38" t="n"/>
      <c r="K582" s="38" t="n"/>
      <c r="L582" s="38" t="n"/>
    </row>
    <row r="583">
      <c r="A583" s="33" t="n"/>
      <c r="B583" s="32" t="n"/>
      <c r="C583" s="41" t="n"/>
      <c r="D583" s="58" t="n"/>
      <c r="E583" s="59" t="n"/>
      <c r="F583" s="55">
        <f>IF(OR(D583="",E583=""),"",D583*E583)</f>
        <v/>
      </c>
      <c r="G583" s="48">
        <f>IF(OR(B583="",C583=""),"",IFERROR(IF(MAXIFS($C$4:C582,$B$4:B582,B583)=0,"",C583-MAXIFS($C$4:C582,$B$4:B582,B583)),""))</f>
        <v/>
      </c>
      <c r="H583" s="56">
        <f>IF(OR(G583="",G583=0,D583=""),"",D583/G583*100)</f>
        <v/>
      </c>
      <c r="I583" s="57">
        <f>IF(OR(G583="",G583=0,F583=""),"",F583/G583)</f>
        <v/>
      </c>
      <c r="J583" s="40" t="n"/>
      <c r="K583" s="40" t="n"/>
      <c r="L583" s="40" t="n"/>
    </row>
    <row r="584">
      <c r="A584" s="35" t="n"/>
      <c r="B584" s="34" t="n"/>
      <c r="C584" s="39" t="n"/>
      <c r="D584" s="53" t="n"/>
      <c r="E584" s="54" t="n"/>
      <c r="F584" s="55">
        <f>IF(OR(D584="",E584=""),"",D584*E584)</f>
        <v/>
      </c>
      <c r="G584" s="48">
        <f>IF(OR(B584="",C584=""),"",IFERROR(IF(MAXIFS($C$4:C583,$B$4:B583,B584)=0,"",C584-MAXIFS($C$4:C583,$B$4:B583,B584)),""))</f>
        <v/>
      </c>
      <c r="H584" s="56">
        <f>IF(OR(G584="",G584=0,D584=""),"",D584/G584*100)</f>
        <v/>
      </c>
      <c r="I584" s="57">
        <f>IF(OR(G584="",G584=0,F584=""),"",F584/G584)</f>
        <v/>
      </c>
      <c r="J584" s="38" t="n"/>
      <c r="K584" s="38" t="n"/>
      <c r="L584" s="38" t="n"/>
    </row>
    <row r="585">
      <c r="A585" s="33" t="n"/>
      <c r="B585" s="32" t="n"/>
      <c r="C585" s="41" t="n"/>
      <c r="D585" s="58" t="n"/>
      <c r="E585" s="59" t="n"/>
      <c r="F585" s="55">
        <f>IF(OR(D585="",E585=""),"",D585*E585)</f>
        <v/>
      </c>
      <c r="G585" s="48">
        <f>IF(OR(B585="",C585=""),"",IFERROR(IF(MAXIFS($C$4:C584,$B$4:B584,B585)=0,"",C585-MAXIFS($C$4:C584,$B$4:B584,B585)),""))</f>
        <v/>
      </c>
      <c r="H585" s="56">
        <f>IF(OR(G585="",G585=0,D585=""),"",D585/G585*100)</f>
        <v/>
      </c>
      <c r="I585" s="57">
        <f>IF(OR(G585="",G585=0,F585=""),"",F585/G585)</f>
        <v/>
      </c>
      <c r="J585" s="40" t="n"/>
      <c r="K585" s="40" t="n"/>
      <c r="L585" s="40" t="n"/>
    </row>
    <row r="586">
      <c r="A586" s="35" t="n"/>
      <c r="B586" s="34" t="n"/>
      <c r="C586" s="39" t="n"/>
      <c r="D586" s="53" t="n"/>
      <c r="E586" s="54" t="n"/>
      <c r="F586" s="55">
        <f>IF(OR(D586="",E586=""),"",D586*E586)</f>
        <v/>
      </c>
      <c r="G586" s="48">
        <f>IF(OR(B586="",C586=""),"",IFERROR(IF(MAXIFS($C$4:C585,$B$4:B585,B586)=0,"",C586-MAXIFS($C$4:C585,$B$4:B585,B586)),""))</f>
        <v/>
      </c>
      <c r="H586" s="56">
        <f>IF(OR(G586="",G586=0,D586=""),"",D586/G586*100)</f>
        <v/>
      </c>
      <c r="I586" s="57">
        <f>IF(OR(G586="",G586=0,F586=""),"",F586/G586)</f>
        <v/>
      </c>
      <c r="J586" s="38" t="n"/>
      <c r="K586" s="38" t="n"/>
      <c r="L586" s="38" t="n"/>
    </row>
    <row r="587">
      <c r="A587" s="33" t="n"/>
      <c r="B587" s="32" t="n"/>
      <c r="C587" s="41" t="n"/>
      <c r="D587" s="58" t="n"/>
      <c r="E587" s="59" t="n"/>
      <c r="F587" s="55">
        <f>IF(OR(D587="",E587=""),"",D587*E587)</f>
        <v/>
      </c>
      <c r="G587" s="48">
        <f>IF(OR(B587="",C587=""),"",IFERROR(IF(MAXIFS($C$4:C586,$B$4:B586,B587)=0,"",C587-MAXIFS($C$4:C586,$B$4:B586,B587)),""))</f>
        <v/>
      </c>
      <c r="H587" s="56">
        <f>IF(OR(G587="",G587=0,D587=""),"",D587/G587*100)</f>
        <v/>
      </c>
      <c r="I587" s="57">
        <f>IF(OR(G587="",G587=0,F587=""),"",F587/G587)</f>
        <v/>
      </c>
      <c r="J587" s="40" t="n"/>
      <c r="K587" s="40" t="n"/>
      <c r="L587" s="40" t="n"/>
    </row>
    <row r="588">
      <c r="A588" s="35" t="n"/>
      <c r="B588" s="34" t="n"/>
      <c r="C588" s="39" t="n"/>
      <c r="D588" s="53" t="n"/>
      <c r="E588" s="54" t="n"/>
      <c r="F588" s="55">
        <f>IF(OR(D588="",E588=""),"",D588*E588)</f>
        <v/>
      </c>
      <c r="G588" s="48">
        <f>IF(OR(B588="",C588=""),"",IFERROR(IF(MAXIFS($C$4:C587,$B$4:B587,B588)=0,"",C588-MAXIFS($C$4:C587,$B$4:B587,B588)),""))</f>
        <v/>
      </c>
      <c r="H588" s="56">
        <f>IF(OR(G588="",G588=0,D588=""),"",D588/G588*100)</f>
        <v/>
      </c>
      <c r="I588" s="57">
        <f>IF(OR(G588="",G588=0,F588=""),"",F588/G588)</f>
        <v/>
      </c>
      <c r="J588" s="38" t="n"/>
      <c r="K588" s="38" t="n"/>
      <c r="L588" s="38" t="n"/>
    </row>
    <row r="589">
      <c r="A589" s="33" t="n"/>
      <c r="B589" s="32" t="n"/>
      <c r="C589" s="41" t="n"/>
      <c r="D589" s="58" t="n"/>
      <c r="E589" s="59" t="n"/>
      <c r="F589" s="55">
        <f>IF(OR(D589="",E589=""),"",D589*E589)</f>
        <v/>
      </c>
      <c r="G589" s="48">
        <f>IF(OR(B589="",C589=""),"",IFERROR(IF(MAXIFS($C$4:C588,$B$4:B588,B589)=0,"",C589-MAXIFS($C$4:C588,$B$4:B588,B589)),""))</f>
        <v/>
      </c>
      <c r="H589" s="56">
        <f>IF(OR(G589="",G589=0,D589=""),"",D589/G589*100)</f>
        <v/>
      </c>
      <c r="I589" s="57">
        <f>IF(OR(G589="",G589=0,F589=""),"",F589/G589)</f>
        <v/>
      </c>
      <c r="J589" s="40" t="n"/>
      <c r="K589" s="40" t="n"/>
      <c r="L589" s="40" t="n"/>
    </row>
    <row r="590">
      <c r="A590" s="35" t="n"/>
      <c r="B590" s="34" t="n"/>
      <c r="C590" s="39" t="n"/>
      <c r="D590" s="53" t="n"/>
      <c r="E590" s="54" t="n"/>
      <c r="F590" s="55">
        <f>IF(OR(D590="",E590=""),"",D590*E590)</f>
        <v/>
      </c>
      <c r="G590" s="48">
        <f>IF(OR(B590="",C590=""),"",IFERROR(IF(MAXIFS($C$4:C589,$B$4:B589,B590)=0,"",C590-MAXIFS($C$4:C589,$B$4:B589,B590)),""))</f>
        <v/>
      </c>
      <c r="H590" s="56">
        <f>IF(OR(G590="",G590=0,D590=""),"",D590/G590*100)</f>
        <v/>
      </c>
      <c r="I590" s="57">
        <f>IF(OR(G590="",G590=0,F590=""),"",F590/G590)</f>
        <v/>
      </c>
      <c r="J590" s="38" t="n"/>
      <c r="K590" s="38" t="n"/>
      <c r="L590" s="38" t="n"/>
    </row>
    <row r="591">
      <c r="A591" s="33" t="n"/>
      <c r="B591" s="32" t="n"/>
      <c r="C591" s="41" t="n"/>
      <c r="D591" s="58" t="n"/>
      <c r="E591" s="59" t="n"/>
      <c r="F591" s="55">
        <f>IF(OR(D591="",E591=""),"",D591*E591)</f>
        <v/>
      </c>
      <c r="G591" s="48">
        <f>IF(OR(B591="",C591=""),"",IFERROR(IF(MAXIFS($C$4:C590,$B$4:B590,B591)=0,"",C591-MAXIFS($C$4:C590,$B$4:B590,B591)),""))</f>
        <v/>
      </c>
      <c r="H591" s="56">
        <f>IF(OR(G591="",G591=0,D591=""),"",D591/G591*100)</f>
        <v/>
      </c>
      <c r="I591" s="57">
        <f>IF(OR(G591="",G591=0,F591=""),"",F591/G591)</f>
        <v/>
      </c>
      <c r="J591" s="40" t="n"/>
      <c r="K591" s="40" t="n"/>
      <c r="L591" s="40" t="n"/>
    </row>
    <row r="592">
      <c r="A592" s="35" t="n"/>
      <c r="B592" s="34" t="n"/>
      <c r="C592" s="39" t="n"/>
      <c r="D592" s="53" t="n"/>
      <c r="E592" s="54" t="n"/>
      <c r="F592" s="55">
        <f>IF(OR(D592="",E592=""),"",D592*E592)</f>
        <v/>
      </c>
      <c r="G592" s="48">
        <f>IF(OR(B592="",C592=""),"",IFERROR(IF(MAXIFS($C$4:C591,$B$4:B591,B592)=0,"",C592-MAXIFS($C$4:C591,$B$4:B591,B592)),""))</f>
        <v/>
      </c>
      <c r="H592" s="56">
        <f>IF(OR(G592="",G592=0,D592=""),"",D592/G592*100)</f>
        <v/>
      </c>
      <c r="I592" s="57">
        <f>IF(OR(G592="",G592=0,F592=""),"",F592/G592)</f>
        <v/>
      </c>
      <c r="J592" s="38" t="n"/>
      <c r="K592" s="38" t="n"/>
      <c r="L592" s="38" t="n"/>
    </row>
    <row r="593">
      <c r="A593" s="33" t="n"/>
      <c r="B593" s="32" t="n"/>
      <c r="C593" s="41" t="n"/>
      <c r="D593" s="58" t="n"/>
      <c r="E593" s="59" t="n"/>
      <c r="F593" s="55">
        <f>IF(OR(D593="",E593=""),"",D593*E593)</f>
        <v/>
      </c>
      <c r="G593" s="48">
        <f>IF(OR(B593="",C593=""),"",IFERROR(IF(MAXIFS($C$4:C592,$B$4:B592,B593)=0,"",C593-MAXIFS($C$4:C592,$B$4:B592,B593)),""))</f>
        <v/>
      </c>
      <c r="H593" s="56">
        <f>IF(OR(G593="",G593=0,D593=""),"",D593/G593*100)</f>
        <v/>
      </c>
      <c r="I593" s="57">
        <f>IF(OR(G593="",G593=0,F593=""),"",F593/G593)</f>
        <v/>
      </c>
      <c r="J593" s="40" t="n"/>
      <c r="K593" s="40" t="n"/>
      <c r="L593" s="40" t="n"/>
    </row>
    <row r="594">
      <c r="A594" s="35" t="n"/>
      <c r="B594" s="34" t="n"/>
      <c r="C594" s="39" t="n"/>
      <c r="D594" s="53" t="n"/>
      <c r="E594" s="54" t="n"/>
      <c r="F594" s="55">
        <f>IF(OR(D594="",E594=""),"",D594*E594)</f>
        <v/>
      </c>
      <c r="G594" s="48">
        <f>IF(OR(B594="",C594=""),"",IFERROR(IF(MAXIFS($C$4:C593,$B$4:B593,B594)=0,"",C594-MAXIFS($C$4:C593,$B$4:B593,B594)),""))</f>
        <v/>
      </c>
      <c r="H594" s="56">
        <f>IF(OR(G594="",G594=0,D594=""),"",D594/G594*100)</f>
        <v/>
      </c>
      <c r="I594" s="57">
        <f>IF(OR(G594="",G594=0,F594=""),"",F594/G594)</f>
        <v/>
      </c>
      <c r="J594" s="38" t="n"/>
      <c r="K594" s="38" t="n"/>
      <c r="L594" s="38" t="n"/>
    </row>
    <row r="595">
      <c r="A595" s="33" t="n"/>
      <c r="B595" s="32" t="n"/>
      <c r="C595" s="41" t="n"/>
      <c r="D595" s="58" t="n"/>
      <c r="E595" s="59" t="n"/>
      <c r="F595" s="55">
        <f>IF(OR(D595="",E595=""),"",D595*E595)</f>
        <v/>
      </c>
      <c r="G595" s="48">
        <f>IF(OR(B595="",C595=""),"",IFERROR(IF(MAXIFS($C$4:C594,$B$4:B594,B595)=0,"",C595-MAXIFS($C$4:C594,$B$4:B594,B595)),""))</f>
        <v/>
      </c>
      <c r="H595" s="56">
        <f>IF(OR(G595="",G595=0,D595=""),"",D595/G595*100)</f>
        <v/>
      </c>
      <c r="I595" s="57">
        <f>IF(OR(G595="",G595=0,F595=""),"",F595/G595)</f>
        <v/>
      </c>
      <c r="J595" s="40" t="n"/>
      <c r="K595" s="40" t="n"/>
      <c r="L595" s="40" t="n"/>
    </row>
    <row r="596">
      <c r="A596" s="35" t="n"/>
      <c r="B596" s="34" t="n"/>
      <c r="C596" s="39" t="n"/>
      <c r="D596" s="53" t="n"/>
      <c r="E596" s="54" t="n"/>
      <c r="F596" s="55">
        <f>IF(OR(D596="",E596=""),"",D596*E596)</f>
        <v/>
      </c>
      <c r="G596" s="48">
        <f>IF(OR(B596="",C596=""),"",IFERROR(IF(MAXIFS($C$4:C595,$B$4:B595,B596)=0,"",C596-MAXIFS($C$4:C595,$B$4:B595,B596)),""))</f>
        <v/>
      </c>
      <c r="H596" s="56">
        <f>IF(OR(G596="",G596=0,D596=""),"",D596/G596*100)</f>
        <v/>
      </c>
      <c r="I596" s="57">
        <f>IF(OR(G596="",G596=0,F596=""),"",F596/G596)</f>
        <v/>
      </c>
      <c r="J596" s="38" t="n"/>
      <c r="K596" s="38" t="n"/>
      <c r="L596" s="38" t="n"/>
    </row>
    <row r="597">
      <c r="A597" s="33" t="n"/>
      <c r="B597" s="32" t="n"/>
      <c r="C597" s="41" t="n"/>
      <c r="D597" s="58" t="n"/>
      <c r="E597" s="59" t="n"/>
      <c r="F597" s="55">
        <f>IF(OR(D597="",E597=""),"",D597*E597)</f>
        <v/>
      </c>
      <c r="G597" s="48">
        <f>IF(OR(B597="",C597=""),"",IFERROR(IF(MAXIFS($C$4:C596,$B$4:B596,B597)=0,"",C597-MAXIFS($C$4:C596,$B$4:B596,B597)),""))</f>
        <v/>
      </c>
      <c r="H597" s="56">
        <f>IF(OR(G597="",G597=0,D597=""),"",D597/G597*100)</f>
        <v/>
      </c>
      <c r="I597" s="57">
        <f>IF(OR(G597="",G597=0,F597=""),"",F597/G597)</f>
        <v/>
      </c>
      <c r="J597" s="40" t="n"/>
      <c r="K597" s="40" t="n"/>
      <c r="L597" s="40" t="n"/>
    </row>
    <row r="598">
      <c r="A598" s="35" t="n"/>
      <c r="B598" s="34" t="n"/>
      <c r="C598" s="39" t="n"/>
      <c r="D598" s="53" t="n"/>
      <c r="E598" s="54" t="n"/>
      <c r="F598" s="55">
        <f>IF(OR(D598="",E598=""),"",D598*E598)</f>
        <v/>
      </c>
      <c r="G598" s="48">
        <f>IF(OR(B598="",C598=""),"",IFERROR(IF(MAXIFS($C$4:C597,$B$4:B597,B598)=0,"",C598-MAXIFS($C$4:C597,$B$4:B597,B598)),""))</f>
        <v/>
      </c>
      <c r="H598" s="56">
        <f>IF(OR(G598="",G598=0,D598=""),"",D598/G598*100)</f>
        <v/>
      </c>
      <c r="I598" s="57">
        <f>IF(OR(G598="",G598=0,F598=""),"",F598/G598)</f>
        <v/>
      </c>
      <c r="J598" s="38" t="n"/>
      <c r="K598" s="38" t="n"/>
      <c r="L598" s="38" t="n"/>
    </row>
    <row r="599">
      <c r="A599" s="33" t="n"/>
      <c r="B599" s="32" t="n"/>
      <c r="C599" s="41" t="n"/>
      <c r="D599" s="58" t="n"/>
      <c r="E599" s="59" t="n"/>
      <c r="F599" s="55">
        <f>IF(OR(D599="",E599=""),"",D599*E599)</f>
        <v/>
      </c>
      <c r="G599" s="48">
        <f>IF(OR(B599="",C599=""),"",IFERROR(IF(MAXIFS($C$4:C598,$B$4:B598,B599)=0,"",C599-MAXIFS($C$4:C598,$B$4:B598,B599)),""))</f>
        <v/>
      </c>
      <c r="H599" s="56">
        <f>IF(OR(G599="",G599=0,D599=""),"",D599/G599*100)</f>
        <v/>
      </c>
      <c r="I599" s="57">
        <f>IF(OR(G599="",G599=0,F599=""),"",F599/G599)</f>
        <v/>
      </c>
      <c r="J599" s="40" t="n"/>
      <c r="K599" s="40" t="n"/>
      <c r="L599" s="40" t="n"/>
    </row>
    <row r="600">
      <c r="A600" s="35" t="n"/>
      <c r="B600" s="34" t="n"/>
      <c r="C600" s="39" t="n"/>
      <c r="D600" s="53" t="n"/>
      <c r="E600" s="54" t="n"/>
      <c r="F600" s="55">
        <f>IF(OR(D600="",E600=""),"",D600*E600)</f>
        <v/>
      </c>
      <c r="G600" s="48">
        <f>IF(OR(B600="",C600=""),"",IFERROR(IF(MAXIFS($C$4:C599,$B$4:B599,B600)=0,"",C600-MAXIFS($C$4:C599,$B$4:B599,B600)),""))</f>
        <v/>
      </c>
      <c r="H600" s="56">
        <f>IF(OR(G600="",G600=0,D600=""),"",D600/G600*100)</f>
        <v/>
      </c>
      <c r="I600" s="57">
        <f>IF(OR(G600="",G600=0,F600=""),"",F600/G600)</f>
        <v/>
      </c>
      <c r="J600" s="38" t="n"/>
      <c r="K600" s="38" t="n"/>
      <c r="L600" s="38" t="n"/>
    </row>
  </sheetData>
  <autoFilter ref="A3:L600"/>
  <mergeCells count="2">
    <mergeCell ref="A2:L2"/>
    <mergeCell ref="A1:L1"/>
  </mergeCells>
  <dataValidations count="1">
    <dataValidation sqref="B4:B600" showDropDown="0" showInputMessage="0" showErrorMessage="0" allowBlank="1" type="list">
      <formula1>=F_Kennz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/>
  </sheetPr>
  <dimension ref="A1:P20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5" customWidth="1" min="3" max="3"/>
    <col width="18" customWidth="1" min="4" max="4"/>
    <col width="15" customWidth="1" min="5" max="5"/>
    <col width="14" customWidth="1" min="6" max="6"/>
    <col width="14" customWidth="1" min="7" max="7"/>
    <col width="13" customWidth="1" min="8" max="8"/>
    <col width="14" customWidth="1" min="9" max="9"/>
    <col width="12" customWidth="1" min="10" max="10"/>
    <col width="13" customWidth="1" min="11" max="11"/>
    <col width="14" customWidth="1" min="12" max="12"/>
    <col width="15" customWidth="1" min="13" max="13"/>
    <col width="15" customWidth="1" min="14" max="14"/>
    <col width="14" customWidth="1" min="15" max="15"/>
    <col width="22" customWidth="1" min="16" max="16"/>
  </cols>
  <sheetData>
    <row r="1" ht="36" customHeight="1">
      <c r="A1" s="36" t="inlineStr">
        <is>
          <t>LEASING &amp; VERTRÄGE</t>
        </is>
      </c>
    </row>
    <row r="2" ht="18" customHeight="1">
      <c r="A2" s="2" t="inlineStr">
        <is>
          <t>Raten, Versicherung &amp; Steuer im Blick – Termin-Ampel für Vertrags-/Versicherungsende.</t>
        </is>
      </c>
    </row>
    <row r="3" ht="26" customHeight="1">
      <c r="A3" s="37" t="inlineStr">
        <is>
          <t>Kennzeichen</t>
        </is>
      </c>
      <c r="B3" s="37" t="inlineStr">
        <is>
          <t>Typ</t>
        </is>
      </c>
      <c r="C3" s="37" t="inlineStr">
        <is>
          <t>Vertragsart</t>
        </is>
      </c>
      <c r="D3" s="37" t="inlineStr">
        <is>
          <t>Anbieter / Bank</t>
        </is>
      </c>
      <c r="E3" s="37" t="inlineStr">
        <is>
          <t>Vertrags-Nr.</t>
        </is>
      </c>
      <c r="F3" s="37" t="inlineStr">
        <is>
          <t>Vertragsbeginn</t>
        </is>
      </c>
      <c r="G3" s="37" t="inlineStr">
        <is>
          <t>Vertragsende</t>
        </is>
      </c>
      <c r="H3" s="37" t="inlineStr">
        <is>
          <t>Laufzeit (Mon.)</t>
        </is>
      </c>
      <c r="I3" s="37" t="inlineStr">
        <is>
          <t>Monatsrate (€)</t>
        </is>
      </c>
      <c r="J3" s="37" t="inlineStr">
        <is>
          <t>inkl. km/Jahr</t>
        </is>
      </c>
      <c r="K3" s="37" t="inlineStr">
        <is>
          <t>Restwert (€)</t>
        </is>
      </c>
      <c r="L3" s="37" t="inlineStr">
        <is>
          <t>Versicherung bis</t>
        </is>
      </c>
      <c r="M3" s="37" t="inlineStr">
        <is>
          <t>Kfz-Steuer (€/Jahr)</t>
        </is>
      </c>
      <c r="N3" s="37" t="inlineStr">
        <is>
          <t>Rest-Tage Vertrag</t>
        </is>
      </c>
      <c r="O3" s="37" t="inlineStr">
        <is>
          <t>Status</t>
        </is>
      </c>
      <c r="P3" s="37" t="inlineStr">
        <is>
          <t>Notiz</t>
        </is>
      </c>
    </row>
    <row r="4">
      <c r="A4" s="34" t="inlineStr">
        <is>
          <t>B-AH 1001</t>
        </is>
      </c>
      <c r="B4" s="34" t="inlineStr">
        <is>
          <t>PKW</t>
        </is>
      </c>
      <c r="C4" s="34" t="inlineStr">
        <is>
          <t>Leasing</t>
        </is>
      </c>
      <c r="D4" s="38" t="inlineStr">
        <is>
          <t>VW Leasing</t>
        </is>
      </c>
      <c r="E4" s="34" t="inlineStr">
        <is>
          <t>LV-558120</t>
        </is>
      </c>
      <c r="F4" s="35" t="n">
        <v>44635</v>
      </c>
      <c r="G4" s="35" t="n">
        <v>46095</v>
      </c>
      <c r="H4" s="34" t="n">
        <v>48</v>
      </c>
      <c r="I4" s="51" t="n">
        <v>389</v>
      </c>
      <c r="J4" s="39" t="n">
        <v>20000</v>
      </c>
      <c r="K4" s="51" t="n">
        <v>16500</v>
      </c>
      <c r="L4" s="35" t="n">
        <v>46295</v>
      </c>
      <c r="M4" s="51" t="n">
        <v>320</v>
      </c>
      <c r="N4" s="50">
        <f>IF(G4="","",G4-TODAY())</f>
        <v/>
      </c>
      <c r="O4" s="34" t="inlineStr">
        <is>
          <t>Rückgabe planen!</t>
        </is>
      </c>
      <c r="P4" s="38" t="n"/>
    </row>
    <row r="5">
      <c r="A5" s="32" t="inlineStr">
        <is>
          <t>B-AH 1002</t>
        </is>
      </c>
      <c r="B5" s="32" t="inlineStr">
        <is>
          <t>PKW</t>
        </is>
      </c>
      <c r="C5" s="32" t="inlineStr">
        <is>
          <t>Finanzierung</t>
        </is>
      </c>
      <c r="D5" s="40" t="inlineStr">
        <is>
          <t>Santander</t>
        </is>
      </c>
      <c r="E5" s="32" t="inlineStr">
        <is>
          <t>FN-220914</t>
        </is>
      </c>
      <c r="F5" s="33" t="n">
        <v>44378</v>
      </c>
      <c r="G5" s="33" t="n">
        <v>46568</v>
      </c>
      <c r="H5" s="32" t="n">
        <v>72</v>
      </c>
      <c r="I5" s="52" t="n">
        <v>265</v>
      </c>
      <c r="J5" s="41" t="n">
        <v>0</v>
      </c>
      <c r="K5" s="52" t="n">
        <v>0</v>
      </c>
      <c r="L5" s="33" t="n">
        <v>46446</v>
      </c>
      <c r="M5" s="52" t="n">
        <v>190</v>
      </c>
      <c r="N5" s="50">
        <f>IF(G5="","",G5-TODAY())</f>
        <v/>
      </c>
      <c r="O5" s="32" t="inlineStr"/>
      <c r="P5" s="40" t="n"/>
    </row>
    <row r="6">
      <c r="A6" s="34" t="inlineStr">
        <is>
          <t>B-AH 2050</t>
        </is>
      </c>
      <c r="B6" s="34" t="inlineStr">
        <is>
          <t>Transporter</t>
        </is>
      </c>
      <c r="C6" s="34" t="inlineStr">
        <is>
          <t>Kauf (Eigentum)</t>
        </is>
      </c>
      <c r="D6" s="38" t="inlineStr">
        <is>
          <t>-</t>
        </is>
      </c>
      <c r="E6" s="34" t="inlineStr">
        <is>
          <t>-</t>
        </is>
      </c>
      <c r="F6" s="35" t="n">
        <v>43971</v>
      </c>
      <c r="G6" s="35" t="n"/>
      <c r="H6" s="34" t="n">
        <v>0</v>
      </c>
      <c r="I6" s="51" t="n">
        <v>0</v>
      </c>
      <c r="J6" s="39" t="n">
        <v>0</v>
      </c>
      <c r="K6" s="51" t="n">
        <v>0</v>
      </c>
      <c r="L6" s="35" t="n">
        <v>46218</v>
      </c>
      <c r="M6" s="51" t="n">
        <v>556</v>
      </c>
      <c r="N6" s="50">
        <f>IF(G6="","",G6-TODAY())</f>
        <v/>
      </c>
      <c r="O6" s="34" t="inlineStr">
        <is>
          <t>Eigentum</t>
        </is>
      </c>
      <c r="P6" s="38" t="n"/>
    </row>
    <row r="7">
      <c r="A7" s="32" t="inlineStr">
        <is>
          <t>B-AH 2051</t>
        </is>
      </c>
      <c r="B7" s="32" t="inlineStr">
        <is>
          <t>Transporter</t>
        </is>
      </c>
      <c r="C7" s="32" t="inlineStr">
        <is>
          <t>Leasing</t>
        </is>
      </c>
      <c r="D7" s="40" t="inlineStr">
        <is>
          <t>Ford Lease</t>
        </is>
      </c>
      <c r="E7" s="32" t="inlineStr">
        <is>
          <t>FL-771203</t>
        </is>
      </c>
      <c r="F7" s="33" t="n">
        <v>44936</v>
      </c>
      <c r="G7" s="33" t="n">
        <v>46396</v>
      </c>
      <c r="H7" s="32" t="n">
        <v>48</v>
      </c>
      <c r="I7" s="52" t="n">
        <v>415</v>
      </c>
      <c r="J7" s="41" t="n">
        <v>30000</v>
      </c>
      <c r="K7" s="52" t="n">
        <v>14200</v>
      </c>
      <c r="L7" s="33" t="n">
        <v>46397</v>
      </c>
      <c r="M7" s="52" t="n">
        <v>520</v>
      </c>
      <c r="N7" s="50">
        <f>IF(G7="","",G7-TODAY())</f>
        <v/>
      </c>
      <c r="O7" s="32" t="inlineStr"/>
      <c r="P7" s="40" t="n"/>
    </row>
    <row r="8">
      <c r="A8" s="34" t="inlineStr">
        <is>
          <t>B-AH 7800</t>
        </is>
      </c>
      <c r="B8" s="34" t="inlineStr">
        <is>
          <t>LKW</t>
        </is>
      </c>
      <c r="C8" s="34" t="inlineStr">
        <is>
          <t>Leasing</t>
        </is>
      </c>
      <c r="D8" s="38" t="inlineStr">
        <is>
          <t>MAN Financial</t>
        </is>
      </c>
      <c r="E8" s="34" t="inlineStr">
        <is>
          <t>MF-330055</t>
        </is>
      </c>
      <c r="F8" s="35" t="n">
        <v>43713</v>
      </c>
      <c r="G8" s="35" t="n">
        <v>46269</v>
      </c>
      <c r="H8" s="34" t="n">
        <v>84</v>
      </c>
      <c r="I8" s="51" t="n">
        <v>1290</v>
      </c>
      <c r="J8" s="39" t="n">
        <v>150000</v>
      </c>
      <c r="K8" s="51" t="n">
        <v>38000</v>
      </c>
      <c r="L8" s="35" t="n">
        <v>46203</v>
      </c>
      <c r="M8" s="51" t="n">
        <v>0</v>
      </c>
      <c r="N8" s="50">
        <f>IF(G8="","",G8-TODAY())</f>
        <v/>
      </c>
      <c r="O8" s="34" t="inlineStr">
        <is>
          <t>Maut separat</t>
        </is>
      </c>
      <c r="P8" s="38" t="n"/>
    </row>
    <row r="9">
      <c r="A9" s="32" t="inlineStr">
        <is>
          <t>B-AH 7801</t>
        </is>
      </c>
      <c r="B9" s="32" t="inlineStr">
        <is>
          <t>LKW</t>
        </is>
      </c>
      <c r="C9" s="32" t="inlineStr">
        <is>
          <t>Leasing</t>
        </is>
      </c>
      <c r="D9" s="40" t="inlineStr">
        <is>
          <t>Volvo Financial</t>
        </is>
      </c>
      <c r="E9" s="32" t="inlineStr">
        <is>
          <t>VF-410088</t>
        </is>
      </c>
      <c r="F9" s="33" t="n">
        <v>44304</v>
      </c>
      <c r="G9" s="33" t="n">
        <v>46494</v>
      </c>
      <c r="H9" s="32" t="n">
        <v>72</v>
      </c>
      <c r="I9" s="52" t="n">
        <v>1180</v>
      </c>
      <c r="J9" s="41" t="n">
        <v>140000</v>
      </c>
      <c r="K9" s="52" t="n">
        <v>42000</v>
      </c>
      <c r="L9" s="33" t="n">
        <v>46346</v>
      </c>
      <c r="M9" s="52" t="n">
        <v>0</v>
      </c>
      <c r="N9" s="50">
        <f>IF(G9="","",G9-TODAY())</f>
        <v/>
      </c>
      <c r="O9" s="32" t="inlineStr"/>
      <c r="P9" s="40" t="n"/>
    </row>
    <row r="10">
      <c r="A10" s="34" t="n"/>
      <c r="B10" s="34" t="n"/>
      <c r="C10" s="34" t="n"/>
      <c r="D10" s="38" t="n"/>
      <c r="E10" s="34" t="n"/>
      <c r="F10" s="35" t="n"/>
      <c r="G10" s="35" t="n"/>
      <c r="H10" s="34" t="n"/>
      <c r="I10" s="51" t="n"/>
      <c r="J10" s="39" t="n"/>
      <c r="K10" s="51" t="n"/>
      <c r="L10" s="35" t="n"/>
      <c r="M10" s="51" t="n"/>
      <c r="N10" s="50">
        <f>IF(G10="","",G10-TODAY())</f>
        <v/>
      </c>
      <c r="O10" s="34" t="n"/>
      <c r="P10" s="38" t="n"/>
    </row>
    <row r="11">
      <c r="A11" s="32" t="n"/>
      <c r="B11" s="32" t="n"/>
      <c r="C11" s="32" t="n"/>
      <c r="D11" s="40" t="n"/>
      <c r="E11" s="32" t="n"/>
      <c r="F11" s="33" t="n"/>
      <c r="G11" s="33" t="n"/>
      <c r="H11" s="32" t="n"/>
      <c r="I11" s="52" t="n"/>
      <c r="J11" s="41" t="n"/>
      <c r="K11" s="52" t="n"/>
      <c r="L11" s="33" t="n"/>
      <c r="M11" s="52" t="n"/>
      <c r="N11" s="50">
        <f>IF(G11="","",G11-TODAY())</f>
        <v/>
      </c>
      <c r="O11" s="32" t="n"/>
      <c r="P11" s="40" t="n"/>
    </row>
    <row r="12">
      <c r="A12" s="34" t="n"/>
      <c r="B12" s="34" t="n"/>
      <c r="C12" s="34" t="n"/>
      <c r="D12" s="38" t="n"/>
      <c r="E12" s="34" t="n"/>
      <c r="F12" s="35" t="n"/>
      <c r="G12" s="35" t="n"/>
      <c r="H12" s="34" t="n"/>
      <c r="I12" s="51" t="n"/>
      <c r="J12" s="39" t="n"/>
      <c r="K12" s="51" t="n"/>
      <c r="L12" s="35" t="n"/>
      <c r="M12" s="51" t="n"/>
      <c r="N12" s="50">
        <f>IF(G12="","",G12-TODAY())</f>
        <v/>
      </c>
      <c r="O12" s="34" t="n"/>
      <c r="P12" s="38" t="n"/>
    </row>
    <row r="13">
      <c r="A13" s="32" t="n"/>
      <c r="B13" s="32" t="n"/>
      <c r="C13" s="32" t="n"/>
      <c r="D13" s="40" t="n"/>
      <c r="E13" s="32" t="n"/>
      <c r="F13" s="33" t="n"/>
      <c r="G13" s="33" t="n"/>
      <c r="H13" s="32" t="n"/>
      <c r="I13" s="52" t="n"/>
      <c r="J13" s="41" t="n"/>
      <c r="K13" s="52" t="n"/>
      <c r="L13" s="33" t="n"/>
      <c r="M13" s="52" t="n"/>
      <c r="N13" s="50">
        <f>IF(G13="","",G13-TODAY())</f>
        <v/>
      </c>
      <c r="O13" s="32" t="n"/>
      <c r="P13" s="40" t="n"/>
    </row>
    <row r="14">
      <c r="A14" s="34" t="n"/>
      <c r="B14" s="34" t="n"/>
      <c r="C14" s="34" t="n"/>
      <c r="D14" s="38" t="n"/>
      <c r="E14" s="34" t="n"/>
      <c r="F14" s="35" t="n"/>
      <c r="G14" s="35" t="n"/>
      <c r="H14" s="34" t="n"/>
      <c r="I14" s="51" t="n"/>
      <c r="J14" s="39" t="n"/>
      <c r="K14" s="51" t="n"/>
      <c r="L14" s="35" t="n"/>
      <c r="M14" s="51" t="n"/>
      <c r="N14" s="50">
        <f>IF(G14="","",G14-TODAY())</f>
        <v/>
      </c>
      <c r="O14" s="34" t="n"/>
      <c r="P14" s="38" t="n"/>
    </row>
    <row r="15">
      <c r="A15" s="32" t="n"/>
      <c r="B15" s="32" t="n"/>
      <c r="C15" s="32" t="n"/>
      <c r="D15" s="40" t="n"/>
      <c r="E15" s="32" t="n"/>
      <c r="F15" s="33" t="n"/>
      <c r="G15" s="33" t="n"/>
      <c r="H15" s="32" t="n"/>
      <c r="I15" s="52" t="n"/>
      <c r="J15" s="41" t="n"/>
      <c r="K15" s="52" t="n"/>
      <c r="L15" s="33" t="n"/>
      <c r="M15" s="52" t="n"/>
      <c r="N15" s="50">
        <f>IF(G15="","",G15-TODAY())</f>
        <v/>
      </c>
      <c r="O15" s="32" t="n"/>
      <c r="P15" s="40" t="n"/>
    </row>
    <row r="16">
      <c r="A16" s="34" t="n"/>
      <c r="B16" s="34" t="n"/>
      <c r="C16" s="34" t="n"/>
      <c r="D16" s="38" t="n"/>
      <c r="E16" s="34" t="n"/>
      <c r="F16" s="35" t="n"/>
      <c r="G16" s="35" t="n"/>
      <c r="H16" s="34" t="n"/>
      <c r="I16" s="51" t="n"/>
      <c r="J16" s="39" t="n"/>
      <c r="K16" s="51" t="n"/>
      <c r="L16" s="35" t="n"/>
      <c r="M16" s="51" t="n"/>
      <c r="N16" s="50">
        <f>IF(G16="","",G16-TODAY())</f>
        <v/>
      </c>
      <c r="O16" s="34" t="n"/>
      <c r="P16" s="38" t="n"/>
    </row>
    <row r="17">
      <c r="A17" s="32" t="n"/>
      <c r="B17" s="32" t="n"/>
      <c r="C17" s="32" t="n"/>
      <c r="D17" s="40" t="n"/>
      <c r="E17" s="32" t="n"/>
      <c r="F17" s="33" t="n"/>
      <c r="G17" s="33" t="n"/>
      <c r="H17" s="32" t="n"/>
      <c r="I17" s="52" t="n"/>
      <c r="J17" s="41" t="n"/>
      <c r="K17" s="52" t="n"/>
      <c r="L17" s="33" t="n"/>
      <c r="M17" s="52" t="n"/>
      <c r="N17" s="50">
        <f>IF(G17="","",G17-TODAY())</f>
        <v/>
      </c>
      <c r="O17" s="32" t="n"/>
      <c r="P17" s="40" t="n"/>
    </row>
    <row r="18">
      <c r="A18" s="34" t="n"/>
      <c r="B18" s="34" t="n"/>
      <c r="C18" s="34" t="n"/>
      <c r="D18" s="38" t="n"/>
      <c r="E18" s="34" t="n"/>
      <c r="F18" s="35" t="n"/>
      <c r="G18" s="35" t="n"/>
      <c r="H18" s="34" t="n"/>
      <c r="I18" s="51" t="n"/>
      <c r="J18" s="39" t="n"/>
      <c r="K18" s="51" t="n"/>
      <c r="L18" s="35" t="n"/>
      <c r="M18" s="51" t="n"/>
      <c r="N18" s="50">
        <f>IF(G18="","",G18-TODAY())</f>
        <v/>
      </c>
      <c r="O18" s="34" t="n"/>
      <c r="P18" s="38" t="n"/>
    </row>
    <row r="19">
      <c r="A19" s="32" t="n"/>
      <c r="B19" s="32" t="n"/>
      <c r="C19" s="32" t="n"/>
      <c r="D19" s="40" t="n"/>
      <c r="E19" s="32" t="n"/>
      <c r="F19" s="33" t="n"/>
      <c r="G19" s="33" t="n"/>
      <c r="H19" s="32" t="n"/>
      <c r="I19" s="52" t="n"/>
      <c r="J19" s="41" t="n"/>
      <c r="K19" s="52" t="n"/>
      <c r="L19" s="33" t="n"/>
      <c r="M19" s="52" t="n"/>
      <c r="N19" s="50">
        <f>IF(G19="","",G19-TODAY())</f>
        <v/>
      </c>
      <c r="O19" s="32" t="n"/>
      <c r="P19" s="40" t="n"/>
    </row>
    <row r="20">
      <c r="A20" s="34" t="n"/>
      <c r="B20" s="34" t="n"/>
      <c r="C20" s="34" t="n"/>
      <c r="D20" s="38" t="n"/>
      <c r="E20" s="34" t="n"/>
      <c r="F20" s="35" t="n"/>
      <c r="G20" s="35" t="n"/>
      <c r="H20" s="34" t="n"/>
      <c r="I20" s="51" t="n"/>
      <c r="J20" s="39" t="n"/>
      <c r="K20" s="51" t="n"/>
      <c r="L20" s="35" t="n"/>
      <c r="M20" s="51" t="n"/>
      <c r="N20" s="50">
        <f>IF(G20="","",G20-TODAY())</f>
        <v/>
      </c>
      <c r="O20" s="34" t="n"/>
      <c r="P20" s="38" t="n"/>
    </row>
    <row r="21">
      <c r="A21" s="32" t="n"/>
      <c r="B21" s="32" t="n"/>
      <c r="C21" s="32" t="n"/>
      <c r="D21" s="40" t="n"/>
      <c r="E21" s="32" t="n"/>
      <c r="F21" s="33" t="n"/>
      <c r="G21" s="33" t="n"/>
      <c r="H21" s="32" t="n"/>
      <c r="I21" s="52" t="n"/>
      <c r="J21" s="41" t="n"/>
      <c r="K21" s="52" t="n"/>
      <c r="L21" s="33" t="n"/>
      <c r="M21" s="52" t="n"/>
      <c r="N21" s="50">
        <f>IF(G21="","",G21-TODAY())</f>
        <v/>
      </c>
      <c r="O21" s="32" t="n"/>
      <c r="P21" s="40" t="n"/>
    </row>
    <row r="22">
      <c r="A22" s="34" t="n"/>
      <c r="B22" s="34" t="n"/>
      <c r="C22" s="34" t="n"/>
      <c r="D22" s="38" t="n"/>
      <c r="E22" s="34" t="n"/>
      <c r="F22" s="35" t="n"/>
      <c r="G22" s="35" t="n"/>
      <c r="H22" s="34" t="n"/>
      <c r="I22" s="51" t="n"/>
      <c r="J22" s="39" t="n"/>
      <c r="K22" s="51" t="n"/>
      <c r="L22" s="35" t="n"/>
      <c r="M22" s="51" t="n"/>
      <c r="N22" s="50">
        <f>IF(G22="","",G22-TODAY())</f>
        <v/>
      </c>
      <c r="O22" s="34" t="n"/>
      <c r="P22" s="38" t="n"/>
    </row>
    <row r="23">
      <c r="A23" s="32" t="n"/>
      <c r="B23" s="32" t="n"/>
      <c r="C23" s="32" t="n"/>
      <c r="D23" s="40" t="n"/>
      <c r="E23" s="32" t="n"/>
      <c r="F23" s="33" t="n"/>
      <c r="G23" s="33" t="n"/>
      <c r="H23" s="32" t="n"/>
      <c r="I23" s="52" t="n"/>
      <c r="J23" s="41" t="n"/>
      <c r="K23" s="52" t="n"/>
      <c r="L23" s="33" t="n"/>
      <c r="M23" s="52" t="n"/>
      <c r="N23" s="50">
        <f>IF(G23="","",G23-TODAY())</f>
        <v/>
      </c>
      <c r="O23" s="32" t="n"/>
      <c r="P23" s="40" t="n"/>
    </row>
    <row r="24">
      <c r="A24" s="34" t="n"/>
      <c r="B24" s="34" t="n"/>
      <c r="C24" s="34" t="n"/>
      <c r="D24" s="38" t="n"/>
      <c r="E24" s="34" t="n"/>
      <c r="F24" s="35" t="n"/>
      <c r="G24" s="35" t="n"/>
      <c r="H24" s="34" t="n"/>
      <c r="I24" s="51" t="n"/>
      <c r="J24" s="39" t="n"/>
      <c r="K24" s="51" t="n"/>
      <c r="L24" s="35" t="n"/>
      <c r="M24" s="51" t="n"/>
      <c r="N24" s="50">
        <f>IF(G24="","",G24-TODAY())</f>
        <v/>
      </c>
      <c r="O24" s="34" t="n"/>
      <c r="P24" s="38" t="n"/>
    </row>
    <row r="25">
      <c r="A25" s="32" t="n"/>
      <c r="B25" s="32" t="n"/>
      <c r="C25" s="32" t="n"/>
      <c r="D25" s="40" t="n"/>
      <c r="E25" s="32" t="n"/>
      <c r="F25" s="33" t="n"/>
      <c r="G25" s="33" t="n"/>
      <c r="H25" s="32" t="n"/>
      <c r="I25" s="52" t="n"/>
      <c r="J25" s="41" t="n"/>
      <c r="K25" s="52" t="n"/>
      <c r="L25" s="33" t="n"/>
      <c r="M25" s="52" t="n"/>
      <c r="N25" s="50">
        <f>IF(G25="","",G25-TODAY())</f>
        <v/>
      </c>
      <c r="O25" s="32" t="n"/>
      <c r="P25" s="40" t="n"/>
    </row>
    <row r="26">
      <c r="A26" s="34" t="n"/>
      <c r="B26" s="34" t="n"/>
      <c r="C26" s="34" t="n"/>
      <c r="D26" s="38" t="n"/>
      <c r="E26" s="34" t="n"/>
      <c r="F26" s="35" t="n"/>
      <c r="G26" s="35" t="n"/>
      <c r="H26" s="34" t="n"/>
      <c r="I26" s="51" t="n"/>
      <c r="J26" s="39" t="n"/>
      <c r="K26" s="51" t="n"/>
      <c r="L26" s="35" t="n"/>
      <c r="M26" s="51" t="n"/>
      <c r="N26" s="50">
        <f>IF(G26="","",G26-TODAY())</f>
        <v/>
      </c>
      <c r="O26" s="34" t="n"/>
      <c r="P26" s="38" t="n"/>
    </row>
    <row r="27">
      <c r="A27" s="32" t="n"/>
      <c r="B27" s="32" t="n"/>
      <c r="C27" s="32" t="n"/>
      <c r="D27" s="40" t="n"/>
      <c r="E27" s="32" t="n"/>
      <c r="F27" s="33" t="n"/>
      <c r="G27" s="33" t="n"/>
      <c r="H27" s="32" t="n"/>
      <c r="I27" s="52" t="n"/>
      <c r="J27" s="41" t="n"/>
      <c r="K27" s="52" t="n"/>
      <c r="L27" s="33" t="n"/>
      <c r="M27" s="52" t="n"/>
      <c r="N27" s="50">
        <f>IF(G27="","",G27-TODAY())</f>
        <v/>
      </c>
      <c r="O27" s="32" t="n"/>
      <c r="P27" s="40" t="n"/>
    </row>
    <row r="28">
      <c r="A28" s="34" t="n"/>
      <c r="B28" s="34" t="n"/>
      <c r="C28" s="34" t="n"/>
      <c r="D28" s="38" t="n"/>
      <c r="E28" s="34" t="n"/>
      <c r="F28" s="35" t="n"/>
      <c r="G28" s="35" t="n"/>
      <c r="H28" s="34" t="n"/>
      <c r="I28" s="51" t="n"/>
      <c r="J28" s="39" t="n"/>
      <c r="K28" s="51" t="n"/>
      <c r="L28" s="35" t="n"/>
      <c r="M28" s="51" t="n"/>
      <c r="N28" s="50">
        <f>IF(G28="","",G28-TODAY())</f>
        <v/>
      </c>
      <c r="O28" s="34" t="n"/>
      <c r="P28" s="38" t="n"/>
    </row>
    <row r="29">
      <c r="A29" s="32" t="n"/>
      <c r="B29" s="32" t="n"/>
      <c r="C29" s="32" t="n"/>
      <c r="D29" s="40" t="n"/>
      <c r="E29" s="32" t="n"/>
      <c r="F29" s="33" t="n"/>
      <c r="G29" s="33" t="n"/>
      <c r="H29" s="32" t="n"/>
      <c r="I29" s="52" t="n"/>
      <c r="J29" s="41" t="n"/>
      <c r="K29" s="52" t="n"/>
      <c r="L29" s="33" t="n"/>
      <c r="M29" s="52" t="n"/>
      <c r="N29" s="50">
        <f>IF(G29="","",G29-TODAY())</f>
        <v/>
      </c>
      <c r="O29" s="32" t="n"/>
      <c r="P29" s="40" t="n"/>
    </row>
    <row r="30">
      <c r="A30" s="34" t="n"/>
      <c r="B30" s="34" t="n"/>
      <c r="C30" s="34" t="n"/>
      <c r="D30" s="38" t="n"/>
      <c r="E30" s="34" t="n"/>
      <c r="F30" s="35" t="n"/>
      <c r="G30" s="35" t="n"/>
      <c r="H30" s="34" t="n"/>
      <c r="I30" s="51" t="n"/>
      <c r="J30" s="39" t="n"/>
      <c r="K30" s="51" t="n"/>
      <c r="L30" s="35" t="n"/>
      <c r="M30" s="51" t="n"/>
      <c r="N30" s="50">
        <f>IF(G30="","",G30-TODAY())</f>
        <v/>
      </c>
      <c r="O30" s="34" t="n"/>
      <c r="P30" s="38" t="n"/>
    </row>
    <row r="31">
      <c r="A31" s="32" t="n"/>
      <c r="B31" s="32" t="n"/>
      <c r="C31" s="32" t="n"/>
      <c r="D31" s="40" t="n"/>
      <c r="E31" s="32" t="n"/>
      <c r="F31" s="33" t="n"/>
      <c r="G31" s="33" t="n"/>
      <c r="H31" s="32" t="n"/>
      <c r="I31" s="52" t="n"/>
      <c r="J31" s="41" t="n"/>
      <c r="K31" s="52" t="n"/>
      <c r="L31" s="33" t="n"/>
      <c r="M31" s="52" t="n"/>
      <c r="N31" s="50">
        <f>IF(G31="","",G31-TODAY())</f>
        <v/>
      </c>
      <c r="O31" s="32" t="n"/>
      <c r="P31" s="40" t="n"/>
    </row>
    <row r="32">
      <c r="A32" s="34" t="n"/>
      <c r="B32" s="34" t="n"/>
      <c r="C32" s="34" t="n"/>
      <c r="D32" s="38" t="n"/>
      <c r="E32" s="34" t="n"/>
      <c r="F32" s="35" t="n"/>
      <c r="G32" s="35" t="n"/>
      <c r="H32" s="34" t="n"/>
      <c r="I32" s="51" t="n"/>
      <c r="J32" s="39" t="n"/>
      <c r="K32" s="51" t="n"/>
      <c r="L32" s="35" t="n"/>
      <c r="M32" s="51" t="n"/>
      <c r="N32" s="50">
        <f>IF(G32="","",G32-TODAY())</f>
        <v/>
      </c>
      <c r="O32" s="34" t="n"/>
      <c r="P32" s="38" t="n"/>
    </row>
    <row r="33">
      <c r="A33" s="32" t="n"/>
      <c r="B33" s="32" t="n"/>
      <c r="C33" s="32" t="n"/>
      <c r="D33" s="40" t="n"/>
      <c r="E33" s="32" t="n"/>
      <c r="F33" s="33" t="n"/>
      <c r="G33" s="33" t="n"/>
      <c r="H33" s="32" t="n"/>
      <c r="I33" s="52" t="n"/>
      <c r="J33" s="41" t="n"/>
      <c r="K33" s="52" t="n"/>
      <c r="L33" s="33" t="n"/>
      <c r="M33" s="52" t="n"/>
      <c r="N33" s="50">
        <f>IF(G33="","",G33-TODAY())</f>
        <v/>
      </c>
      <c r="O33" s="32" t="n"/>
      <c r="P33" s="40" t="n"/>
    </row>
    <row r="34">
      <c r="A34" s="34" t="n"/>
      <c r="B34" s="34" t="n"/>
      <c r="C34" s="34" t="n"/>
      <c r="D34" s="38" t="n"/>
      <c r="E34" s="34" t="n"/>
      <c r="F34" s="35" t="n"/>
      <c r="G34" s="35" t="n"/>
      <c r="H34" s="34" t="n"/>
      <c r="I34" s="51" t="n"/>
      <c r="J34" s="39" t="n"/>
      <c r="K34" s="51" t="n"/>
      <c r="L34" s="35" t="n"/>
      <c r="M34" s="51" t="n"/>
      <c r="N34" s="50">
        <f>IF(G34="","",G34-TODAY())</f>
        <v/>
      </c>
      <c r="O34" s="34" t="n"/>
      <c r="P34" s="38" t="n"/>
    </row>
    <row r="35">
      <c r="A35" s="32" t="n"/>
      <c r="B35" s="32" t="n"/>
      <c r="C35" s="32" t="n"/>
      <c r="D35" s="40" t="n"/>
      <c r="E35" s="32" t="n"/>
      <c r="F35" s="33" t="n"/>
      <c r="G35" s="33" t="n"/>
      <c r="H35" s="32" t="n"/>
      <c r="I35" s="52" t="n"/>
      <c r="J35" s="41" t="n"/>
      <c r="K35" s="52" t="n"/>
      <c r="L35" s="33" t="n"/>
      <c r="M35" s="52" t="n"/>
      <c r="N35" s="50">
        <f>IF(G35="","",G35-TODAY())</f>
        <v/>
      </c>
      <c r="O35" s="32" t="n"/>
      <c r="P35" s="40" t="n"/>
    </row>
    <row r="36">
      <c r="A36" s="34" t="n"/>
      <c r="B36" s="34" t="n"/>
      <c r="C36" s="34" t="n"/>
      <c r="D36" s="38" t="n"/>
      <c r="E36" s="34" t="n"/>
      <c r="F36" s="35" t="n"/>
      <c r="G36" s="35" t="n"/>
      <c r="H36" s="34" t="n"/>
      <c r="I36" s="51" t="n"/>
      <c r="J36" s="39" t="n"/>
      <c r="K36" s="51" t="n"/>
      <c r="L36" s="35" t="n"/>
      <c r="M36" s="51" t="n"/>
      <c r="N36" s="50">
        <f>IF(G36="","",G36-TODAY())</f>
        <v/>
      </c>
      <c r="O36" s="34" t="n"/>
      <c r="P36" s="38" t="n"/>
    </row>
    <row r="37">
      <c r="A37" s="32" t="n"/>
      <c r="B37" s="32" t="n"/>
      <c r="C37" s="32" t="n"/>
      <c r="D37" s="40" t="n"/>
      <c r="E37" s="32" t="n"/>
      <c r="F37" s="33" t="n"/>
      <c r="G37" s="33" t="n"/>
      <c r="H37" s="32" t="n"/>
      <c r="I37" s="52" t="n"/>
      <c r="J37" s="41" t="n"/>
      <c r="K37" s="52" t="n"/>
      <c r="L37" s="33" t="n"/>
      <c r="M37" s="52" t="n"/>
      <c r="N37" s="50">
        <f>IF(G37="","",G37-TODAY())</f>
        <v/>
      </c>
      <c r="O37" s="32" t="n"/>
      <c r="P37" s="40" t="n"/>
    </row>
    <row r="38">
      <c r="A38" s="34" t="n"/>
      <c r="B38" s="34" t="n"/>
      <c r="C38" s="34" t="n"/>
      <c r="D38" s="38" t="n"/>
      <c r="E38" s="34" t="n"/>
      <c r="F38" s="35" t="n"/>
      <c r="G38" s="35" t="n"/>
      <c r="H38" s="34" t="n"/>
      <c r="I38" s="51" t="n"/>
      <c r="J38" s="39" t="n"/>
      <c r="K38" s="51" t="n"/>
      <c r="L38" s="35" t="n"/>
      <c r="M38" s="51" t="n"/>
      <c r="N38" s="50">
        <f>IF(G38="","",G38-TODAY())</f>
        <v/>
      </c>
      <c r="O38" s="34" t="n"/>
      <c r="P38" s="38" t="n"/>
    </row>
    <row r="39">
      <c r="A39" s="32" t="n"/>
      <c r="B39" s="32" t="n"/>
      <c r="C39" s="32" t="n"/>
      <c r="D39" s="40" t="n"/>
      <c r="E39" s="32" t="n"/>
      <c r="F39" s="33" t="n"/>
      <c r="G39" s="33" t="n"/>
      <c r="H39" s="32" t="n"/>
      <c r="I39" s="52" t="n"/>
      <c r="J39" s="41" t="n"/>
      <c r="K39" s="52" t="n"/>
      <c r="L39" s="33" t="n"/>
      <c r="M39" s="52" t="n"/>
      <c r="N39" s="50">
        <f>IF(G39="","",G39-TODAY())</f>
        <v/>
      </c>
      <c r="O39" s="32" t="n"/>
      <c r="P39" s="40" t="n"/>
    </row>
    <row r="40">
      <c r="A40" s="34" t="n"/>
      <c r="B40" s="34" t="n"/>
      <c r="C40" s="34" t="n"/>
      <c r="D40" s="38" t="n"/>
      <c r="E40" s="34" t="n"/>
      <c r="F40" s="35" t="n"/>
      <c r="G40" s="35" t="n"/>
      <c r="H40" s="34" t="n"/>
      <c r="I40" s="51" t="n"/>
      <c r="J40" s="39" t="n"/>
      <c r="K40" s="51" t="n"/>
      <c r="L40" s="35" t="n"/>
      <c r="M40" s="51" t="n"/>
      <c r="N40" s="50">
        <f>IF(G40="","",G40-TODAY())</f>
        <v/>
      </c>
      <c r="O40" s="34" t="n"/>
      <c r="P40" s="38" t="n"/>
    </row>
    <row r="41">
      <c r="A41" s="32" t="n"/>
      <c r="B41" s="32" t="n"/>
      <c r="C41" s="32" t="n"/>
      <c r="D41" s="40" t="n"/>
      <c r="E41" s="32" t="n"/>
      <c r="F41" s="33" t="n"/>
      <c r="G41" s="33" t="n"/>
      <c r="H41" s="32" t="n"/>
      <c r="I41" s="52" t="n"/>
      <c r="J41" s="41" t="n"/>
      <c r="K41" s="52" t="n"/>
      <c r="L41" s="33" t="n"/>
      <c r="M41" s="52" t="n"/>
      <c r="N41" s="50">
        <f>IF(G41="","",G41-TODAY())</f>
        <v/>
      </c>
      <c r="O41" s="32" t="n"/>
      <c r="P41" s="40" t="n"/>
    </row>
    <row r="42">
      <c r="A42" s="34" t="n"/>
      <c r="B42" s="34" t="n"/>
      <c r="C42" s="34" t="n"/>
      <c r="D42" s="38" t="n"/>
      <c r="E42" s="34" t="n"/>
      <c r="F42" s="35" t="n"/>
      <c r="G42" s="35" t="n"/>
      <c r="H42" s="34" t="n"/>
      <c r="I42" s="51" t="n"/>
      <c r="J42" s="39" t="n"/>
      <c r="K42" s="51" t="n"/>
      <c r="L42" s="35" t="n"/>
      <c r="M42" s="51" t="n"/>
      <c r="N42" s="50">
        <f>IF(G42="","",G42-TODAY())</f>
        <v/>
      </c>
      <c r="O42" s="34" t="n"/>
      <c r="P42" s="38" t="n"/>
    </row>
    <row r="43">
      <c r="A43" s="32" t="n"/>
      <c r="B43" s="32" t="n"/>
      <c r="C43" s="32" t="n"/>
      <c r="D43" s="40" t="n"/>
      <c r="E43" s="32" t="n"/>
      <c r="F43" s="33" t="n"/>
      <c r="G43" s="33" t="n"/>
      <c r="H43" s="32" t="n"/>
      <c r="I43" s="52" t="n"/>
      <c r="J43" s="41" t="n"/>
      <c r="K43" s="52" t="n"/>
      <c r="L43" s="33" t="n"/>
      <c r="M43" s="52" t="n"/>
      <c r="N43" s="50">
        <f>IF(G43="","",G43-TODAY())</f>
        <v/>
      </c>
      <c r="O43" s="32" t="n"/>
      <c r="P43" s="40" t="n"/>
    </row>
    <row r="44">
      <c r="A44" s="34" t="n"/>
      <c r="B44" s="34" t="n"/>
      <c r="C44" s="34" t="n"/>
      <c r="D44" s="38" t="n"/>
      <c r="E44" s="34" t="n"/>
      <c r="F44" s="35" t="n"/>
      <c r="G44" s="35" t="n"/>
      <c r="H44" s="34" t="n"/>
      <c r="I44" s="51" t="n"/>
      <c r="J44" s="39" t="n"/>
      <c r="K44" s="51" t="n"/>
      <c r="L44" s="35" t="n"/>
      <c r="M44" s="51" t="n"/>
      <c r="N44" s="50">
        <f>IF(G44="","",G44-TODAY())</f>
        <v/>
      </c>
      <c r="O44" s="34" t="n"/>
      <c r="P44" s="38" t="n"/>
    </row>
    <row r="45">
      <c r="A45" s="32" t="n"/>
      <c r="B45" s="32" t="n"/>
      <c r="C45" s="32" t="n"/>
      <c r="D45" s="40" t="n"/>
      <c r="E45" s="32" t="n"/>
      <c r="F45" s="33" t="n"/>
      <c r="G45" s="33" t="n"/>
      <c r="H45" s="32" t="n"/>
      <c r="I45" s="52" t="n"/>
      <c r="J45" s="41" t="n"/>
      <c r="K45" s="52" t="n"/>
      <c r="L45" s="33" t="n"/>
      <c r="M45" s="52" t="n"/>
      <c r="N45" s="50">
        <f>IF(G45="","",G45-TODAY())</f>
        <v/>
      </c>
      <c r="O45" s="32" t="n"/>
      <c r="P45" s="40" t="n"/>
    </row>
    <row r="46">
      <c r="A46" s="34" t="n"/>
      <c r="B46" s="34" t="n"/>
      <c r="C46" s="34" t="n"/>
      <c r="D46" s="38" t="n"/>
      <c r="E46" s="34" t="n"/>
      <c r="F46" s="35" t="n"/>
      <c r="G46" s="35" t="n"/>
      <c r="H46" s="34" t="n"/>
      <c r="I46" s="51" t="n"/>
      <c r="J46" s="39" t="n"/>
      <c r="K46" s="51" t="n"/>
      <c r="L46" s="35" t="n"/>
      <c r="M46" s="51" t="n"/>
      <c r="N46" s="50">
        <f>IF(G46="","",G46-TODAY())</f>
        <v/>
      </c>
      <c r="O46" s="34" t="n"/>
      <c r="P46" s="38" t="n"/>
    </row>
    <row r="47">
      <c r="A47" s="32" t="n"/>
      <c r="B47" s="32" t="n"/>
      <c r="C47" s="32" t="n"/>
      <c r="D47" s="40" t="n"/>
      <c r="E47" s="32" t="n"/>
      <c r="F47" s="33" t="n"/>
      <c r="G47" s="33" t="n"/>
      <c r="H47" s="32" t="n"/>
      <c r="I47" s="52" t="n"/>
      <c r="J47" s="41" t="n"/>
      <c r="K47" s="52" t="n"/>
      <c r="L47" s="33" t="n"/>
      <c r="M47" s="52" t="n"/>
      <c r="N47" s="50">
        <f>IF(G47="","",G47-TODAY())</f>
        <v/>
      </c>
      <c r="O47" s="32" t="n"/>
      <c r="P47" s="40" t="n"/>
    </row>
    <row r="48">
      <c r="A48" s="34" t="n"/>
      <c r="B48" s="34" t="n"/>
      <c r="C48" s="34" t="n"/>
      <c r="D48" s="38" t="n"/>
      <c r="E48" s="34" t="n"/>
      <c r="F48" s="35" t="n"/>
      <c r="G48" s="35" t="n"/>
      <c r="H48" s="34" t="n"/>
      <c r="I48" s="51" t="n"/>
      <c r="J48" s="39" t="n"/>
      <c r="K48" s="51" t="n"/>
      <c r="L48" s="35" t="n"/>
      <c r="M48" s="51" t="n"/>
      <c r="N48" s="50">
        <f>IF(G48="","",G48-TODAY())</f>
        <v/>
      </c>
      <c r="O48" s="34" t="n"/>
      <c r="P48" s="38" t="n"/>
    </row>
    <row r="49">
      <c r="A49" s="32" t="n"/>
      <c r="B49" s="32" t="n"/>
      <c r="C49" s="32" t="n"/>
      <c r="D49" s="40" t="n"/>
      <c r="E49" s="32" t="n"/>
      <c r="F49" s="33" t="n"/>
      <c r="G49" s="33" t="n"/>
      <c r="H49" s="32" t="n"/>
      <c r="I49" s="52" t="n"/>
      <c r="J49" s="41" t="n"/>
      <c r="K49" s="52" t="n"/>
      <c r="L49" s="33" t="n"/>
      <c r="M49" s="52" t="n"/>
      <c r="N49" s="50">
        <f>IF(G49="","",G49-TODAY())</f>
        <v/>
      </c>
      <c r="O49" s="32" t="n"/>
      <c r="P49" s="40" t="n"/>
    </row>
    <row r="50">
      <c r="A50" s="34" t="n"/>
      <c r="B50" s="34" t="n"/>
      <c r="C50" s="34" t="n"/>
      <c r="D50" s="38" t="n"/>
      <c r="E50" s="34" t="n"/>
      <c r="F50" s="35" t="n"/>
      <c r="G50" s="35" t="n"/>
      <c r="H50" s="34" t="n"/>
      <c r="I50" s="51" t="n"/>
      <c r="J50" s="39" t="n"/>
      <c r="K50" s="51" t="n"/>
      <c r="L50" s="35" t="n"/>
      <c r="M50" s="51" t="n"/>
      <c r="N50" s="50">
        <f>IF(G50="","",G50-TODAY())</f>
        <v/>
      </c>
      <c r="O50" s="34" t="n"/>
      <c r="P50" s="38" t="n"/>
    </row>
    <row r="51">
      <c r="A51" s="32" t="n"/>
      <c r="B51" s="32" t="n"/>
      <c r="C51" s="32" t="n"/>
      <c r="D51" s="40" t="n"/>
      <c r="E51" s="32" t="n"/>
      <c r="F51" s="33" t="n"/>
      <c r="G51" s="33" t="n"/>
      <c r="H51" s="32" t="n"/>
      <c r="I51" s="52" t="n"/>
      <c r="J51" s="41" t="n"/>
      <c r="K51" s="52" t="n"/>
      <c r="L51" s="33" t="n"/>
      <c r="M51" s="52" t="n"/>
      <c r="N51" s="50">
        <f>IF(G51="","",G51-TODAY())</f>
        <v/>
      </c>
      <c r="O51" s="32" t="n"/>
      <c r="P51" s="40" t="n"/>
    </row>
    <row r="52">
      <c r="A52" s="34" t="n"/>
      <c r="B52" s="34" t="n"/>
      <c r="C52" s="34" t="n"/>
      <c r="D52" s="38" t="n"/>
      <c r="E52" s="34" t="n"/>
      <c r="F52" s="35" t="n"/>
      <c r="G52" s="35" t="n"/>
      <c r="H52" s="34" t="n"/>
      <c r="I52" s="51" t="n"/>
      <c r="J52" s="39" t="n"/>
      <c r="K52" s="51" t="n"/>
      <c r="L52" s="35" t="n"/>
      <c r="M52" s="51" t="n"/>
      <c r="N52" s="50">
        <f>IF(G52="","",G52-TODAY())</f>
        <v/>
      </c>
      <c r="O52" s="34" t="n"/>
      <c r="P52" s="38" t="n"/>
    </row>
    <row r="53">
      <c r="A53" s="32" t="n"/>
      <c r="B53" s="32" t="n"/>
      <c r="C53" s="32" t="n"/>
      <c r="D53" s="40" t="n"/>
      <c r="E53" s="32" t="n"/>
      <c r="F53" s="33" t="n"/>
      <c r="G53" s="33" t="n"/>
      <c r="H53" s="32" t="n"/>
      <c r="I53" s="52" t="n"/>
      <c r="J53" s="41" t="n"/>
      <c r="K53" s="52" t="n"/>
      <c r="L53" s="33" t="n"/>
      <c r="M53" s="52" t="n"/>
      <c r="N53" s="50">
        <f>IF(G53="","",G53-TODAY())</f>
        <v/>
      </c>
      <c r="O53" s="32" t="n"/>
      <c r="P53" s="40" t="n"/>
    </row>
    <row r="54">
      <c r="A54" s="34" t="n"/>
      <c r="B54" s="34" t="n"/>
      <c r="C54" s="34" t="n"/>
      <c r="D54" s="38" t="n"/>
      <c r="E54" s="34" t="n"/>
      <c r="F54" s="35" t="n"/>
      <c r="G54" s="35" t="n"/>
      <c r="H54" s="34" t="n"/>
      <c r="I54" s="51" t="n"/>
      <c r="J54" s="39" t="n"/>
      <c r="K54" s="51" t="n"/>
      <c r="L54" s="35" t="n"/>
      <c r="M54" s="51" t="n"/>
      <c r="N54" s="50">
        <f>IF(G54="","",G54-TODAY())</f>
        <v/>
      </c>
      <c r="O54" s="34" t="n"/>
      <c r="P54" s="38" t="n"/>
    </row>
    <row r="55">
      <c r="A55" s="32" t="n"/>
      <c r="B55" s="32" t="n"/>
      <c r="C55" s="32" t="n"/>
      <c r="D55" s="40" t="n"/>
      <c r="E55" s="32" t="n"/>
      <c r="F55" s="33" t="n"/>
      <c r="G55" s="33" t="n"/>
      <c r="H55" s="32" t="n"/>
      <c r="I55" s="52" t="n"/>
      <c r="J55" s="41" t="n"/>
      <c r="K55" s="52" t="n"/>
      <c r="L55" s="33" t="n"/>
      <c r="M55" s="52" t="n"/>
      <c r="N55" s="50">
        <f>IF(G55="","",G55-TODAY())</f>
        <v/>
      </c>
      <c r="O55" s="32" t="n"/>
      <c r="P55" s="40" t="n"/>
    </row>
    <row r="56">
      <c r="A56" s="34" t="n"/>
      <c r="B56" s="34" t="n"/>
      <c r="C56" s="34" t="n"/>
      <c r="D56" s="38" t="n"/>
      <c r="E56" s="34" t="n"/>
      <c r="F56" s="35" t="n"/>
      <c r="G56" s="35" t="n"/>
      <c r="H56" s="34" t="n"/>
      <c r="I56" s="51" t="n"/>
      <c r="J56" s="39" t="n"/>
      <c r="K56" s="51" t="n"/>
      <c r="L56" s="35" t="n"/>
      <c r="M56" s="51" t="n"/>
      <c r="N56" s="50">
        <f>IF(G56="","",G56-TODAY())</f>
        <v/>
      </c>
      <c r="O56" s="34" t="n"/>
      <c r="P56" s="38" t="n"/>
    </row>
    <row r="57">
      <c r="A57" s="32" t="n"/>
      <c r="B57" s="32" t="n"/>
      <c r="C57" s="32" t="n"/>
      <c r="D57" s="40" t="n"/>
      <c r="E57" s="32" t="n"/>
      <c r="F57" s="33" t="n"/>
      <c r="G57" s="33" t="n"/>
      <c r="H57" s="32" t="n"/>
      <c r="I57" s="52" t="n"/>
      <c r="J57" s="41" t="n"/>
      <c r="K57" s="52" t="n"/>
      <c r="L57" s="33" t="n"/>
      <c r="M57" s="52" t="n"/>
      <c r="N57" s="50">
        <f>IF(G57="","",G57-TODAY())</f>
        <v/>
      </c>
      <c r="O57" s="32" t="n"/>
      <c r="P57" s="40" t="n"/>
    </row>
    <row r="58">
      <c r="A58" s="34" t="n"/>
      <c r="B58" s="34" t="n"/>
      <c r="C58" s="34" t="n"/>
      <c r="D58" s="38" t="n"/>
      <c r="E58" s="34" t="n"/>
      <c r="F58" s="35" t="n"/>
      <c r="G58" s="35" t="n"/>
      <c r="H58" s="34" t="n"/>
      <c r="I58" s="51" t="n"/>
      <c r="J58" s="39" t="n"/>
      <c r="K58" s="51" t="n"/>
      <c r="L58" s="35" t="n"/>
      <c r="M58" s="51" t="n"/>
      <c r="N58" s="50">
        <f>IF(G58="","",G58-TODAY())</f>
        <v/>
      </c>
      <c r="O58" s="34" t="n"/>
      <c r="P58" s="38" t="n"/>
    </row>
    <row r="59">
      <c r="A59" s="32" t="n"/>
      <c r="B59" s="32" t="n"/>
      <c r="C59" s="32" t="n"/>
      <c r="D59" s="40" t="n"/>
      <c r="E59" s="32" t="n"/>
      <c r="F59" s="33" t="n"/>
      <c r="G59" s="33" t="n"/>
      <c r="H59" s="32" t="n"/>
      <c r="I59" s="52" t="n"/>
      <c r="J59" s="41" t="n"/>
      <c r="K59" s="52" t="n"/>
      <c r="L59" s="33" t="n"/>
      <c r="M59" s="52" t="n"/>
      <c r="N59" s="50">
        <f>IF(G59="","",G59-TODAY())</f>
        <v/>
      </c>
      <c r="O59" s="32" t="n"/>
      <c r="P59" s="40" t="n"/>
    </row>
    <row r="60">
      <c r="A60" s="34" t="n"/>
      <c r="B60" s="34" t="n"/>
      <c r="C60" s="34" t="n"/>
      <c r="D60" s="38" t="n"/>
      <c r="E60" s="34" t="n"/>
      <c r="F60" s="35" t="n"/>
      <c r="G60" s="35" t="n"/>
      <c r="H60" s="34" t="n"/>
      <c r="I60" s="51" t="n"/>
      <c r="J60" s="39" t="n"/>
      <c r="K60" s="51" t="n"/>
      <c r="L60" s="35" t="n"/>
      <c r="M60" s="51" t="n"/>
      <c r="N60" s="50">
        <f>IF(G60="","",G60-TODAY())</f>
        <v/>
      </c>
      <c r="O60" s="34" t="n"/>
      <c r="P60" s="38" t="n"/>
    </row>
    <row r="61">
      <c r="A61" s="32" t="n"/>
      <c r="B61" s="32" t="n"/>
      <c r="C61" s="32" t="n"/>
      <c r="D61" s="40" t="n"/>
      <c r="E61" s="32" t="n"/>
      <c r="F61" s="33" t="n"/>
      <c r="G61" s="33" t="n"/>
      <c r="H61" s="32" t="n"/>
      <c r="I61" s="52" t="n"/>
      <c r="J61" s="41" t="n"/>
      <c r="K61" s="52" t="n"/>
      <c r="L61" s="33" t="n"/>
      <c r="M61" s="52" t="n"/>
      <c r="N61" s="50">
        <f>IF(G61="","",G61-TODAY())</f>
        <v/>
      </c>
      <c r="O61" s="32" t="n"/>
      <c r="P61" s="40" t="n"/>
    </row>
    <row r="62">
      <c r="A62" s="34" t="n"/>
      <c r="B62" s="34" t="n"/>
      <c r="C62" s="34" t="n"/>
      <c r="D62" s="38" t="n"/>
      <c r="E62" s="34" t="n"/>
      <c r="F62" s="35" t="n"/>
      <c r="G62" s="35" t="n"/>
      <c r="H62" s="34" t="n"/>
      <c r="I62" s="51" t="n"/>
      <c r="J62" s="39" t="n"/>
      <c r="K62" s="51" t="n"/>
      <c r="L62" s="35" t="n"/>
      <c r="M62" s="51" t="n"/>
      <c r="N62" s="50">
        <f>IF(G62="","",G62-TODAY())</f>
        <v/>
      </c>
      <c r="O62" s="34" t="n"/>
      <c r="P62" s="38" t="n"/>
    </row>
    <row r="63">
      <c r="A63" s="32" t="n"/>
      <c r="B63" s="32" t="n"/>
      <c r="C63" s="32" t="n"/>
      <c r="D63" s="40" t="n"/>
      <c r="E63" s="32" t="n"/>
      <c r="F63" s="33" t="n"/>
      <c r="G63" s="33" t="n"/>
      <c r="H63" s="32" t="n"/>
      <c r="I63" s="52" t="n"/>
      <c r="J63" s="41" t="n"/>
      <c r="K63" s="52" t="n"/>
      <c r="L63" s="33" t="n"/>
      <c r="M63" s="52" t="n"/>
      <c r="N63" s="50">
        <f>IF(G63="","",G63-TODAY())</f>
        <v/>
      </c>
      <c r="O63" s="32" t="n"/>
      <c r="P63" s="40" t="n"/>
    </row>
    <row r="64">
      <c r="A64" s="34" t="n"/>
      <c r="B64" s="34" t="n"/>
      <c r="C64" s="34" t="n"/>
      <c r="D64" s="38" t="n"/>
      <c r="E64" s="34" t="n"/>
      <c r="F64" s="35" t="n"/>
      <c r="G64" s="35" t="n"/>
      <c r="H64" s="34" t="n"/>
      <c r="I64" s="51" t="n"/>
      <c r="J64" s="39" t="n"/>
      <c r="K64" s="51" t="n"/>
      <c r="L64" s="35" t="n"/>
      <c r="M64" s="51" t="n"/>
      <c r="N64" s="50">
        <f>IF(G64="","",G64-TODAY())</f>
        <v/>
      </c>
      <c r="O64" s="34" t="n"/>
      <c r="P64" s="38" t="n"/>
    </row>
    <row r="65">
      <c r="A65" s="32" t="n"/>
      <c r="B65" s="32" t="n"/>
      <c r="C65" s="32" t="n"/>
      <c r="D65" s="40" t="n"/>
      <c r="E65" s="32" t="n"/>
      <c r="F65" s="33" t="n"/>
      <c r="G65" s="33" t="n"/>
      <c r="H65" s="32" t="n"/>
      <c r="I65" s="52" t="n"/>
      <c r="J65" s="41" t="n"/>
      <c r="K65" s="52" t="n"/>
      <c r="L65" s="33" t="n"/>
      <c r="M65" s="52" t="n"/>
      <c r="N65" s="50">
        <f>IF(G65="","",G65-TODAY())</f>
        <v/>
      </c>
      <c r="O65" s="32" t="n"/>
      <c r="P65" s="40" t="n"/>
    </row>
    <row r="66">
      <c r="A66" s="34" t="n"/>
      <c r="B66" s="34" t="n"/>
      <c r="C66" s="34" t="n"/>
      <c r="D66" s="38" t="n"/>
      <c r="E66" s="34" t="n"/>
      <c r="F66" s="35" t="n"/>
      <c r="G66" s="35" t="n"/>
      <c r="H66" s="34" t="n"/>
      <c r="I66" s="51" t="n"/>
      <c r="J66" s="39" t="n"/>
      <c r="K66" s="51" t="n"/>
      <c r="L66" s="35" t="n"/>
      <c r="M66" s="51" t="n"/>
      <c r="N66" s="50">
        <f>IF(G66="","",G66-TODAY())</f>
        <v/>
      </c>
      <c r="O66" s="34" t="n"/>
      <c r="P66" s="38" t="n"/>
    </row>
    <row r="67">
      <c r="A67" s="32" t="n"/>
      <c r="B67" s="32" t="n"/>
      <c r="C67" s="32" t="n"/>
      <c r="D67" s="40" t="n"/>
      <c r="E67" s="32" t="n"/>
      <c r="F67" s="33" t="n"/>
      <c r="G67" s="33" t="n"/>
      <c r="H67" s="32" t="n"/>
      <c r="I67" s="52" t="n"/>
      <c r="J67" s="41" t="n"/>
      <c r="K67" s="52" t="n"/>
      <c r="L67" s="33" t="n"/>
      <c r="M67" s="52" t="n"/>
      <c r="N67" s="50">
        <f>IF(G67="","",G67-TODAY())</f>
        <v/>
      </c>
      <c r="O67" s="32" t="n"/>
      <c r="P67" s="40" t="n"/>
    </row>
    <row r="68">
      <c r="A68" s="34" t="n"/>
      <c r="B68" s="34" t="n"/>
      <c r="C68" s="34" t="n"/>
      <c r="D68" s="38" t="n"/>
      <c r="E68" s="34" t="n"/>
      <c r="F68" s="35" t="n"/>
      <c r="G68" s="35" t="n"/>
      <c r="H68" s="34" t="n"/>
      <c r="I68" s="51" t="n"/>
      <c r="J68" s="39" t="n"/>
      <c r="K68" s="51" t="n"/>
      <c r="L68" s="35" t="n"/>
      <c r="M68" s="51" t="n"/>
      <c r="N68" s="50">
        <f>IF(G68="","",G68-TODAY())</f>
        <v/>
      </c>
      <c r="O68" s="34" t="n"/>
      <c r="P68" s="38" t="n"/>
    </row>
    <row r="69">
      <c r="A69" s="32" t="n"/>
      <c r="B69" s="32" t="n"/>
      <c r="C69" s="32" t="n"/>
      <c r="D69" s="40" t="n"/>
      <c r="E69" s="32" t="n"/>
      <c r="F69" s="33" t="n"/>
      <c r="G69" s="33" t="n"/>
      <c r="H69" s="32" t="n"/>
      <c r="I69" s="52" t="n"/>
      <c r="J69" s="41" t="n"/>
      <c r="K69" s="52" t="n"/>
      <c r="L69" s="33" t="n"/>
      <c r="M69" s="52" t="n"/>
      <c r="N69" s="50">
        <f>IF(G69="","",G69-TODAY())</f>
        <v/>
      </c>
      <c r="O69" s="32" t="n"/>
      <c r="P69" s="40" t="n"/>
    </row>
    <row r="70">
      <c r="A70" s="34" t="n"/>
      <c r="B70" s="34" t="n"/>
      <c r="C70" s="34" t="n"/>
      <c r="D70" s="38" t="n"/>
      <c r="E70" s="34" t="n"/>
      <c r="F70" s="35" t="n"/>
      <c r="G70" s="35" t="n"/>
      <c r="H70" s="34" t="n"/>
      <c r="I70" s="51" t="n"/>
      <c r="J70" s="39" t="n"/>
      <c r="K70" s="51" t="n"/>
      <c r="L70" s="35" t="n"/>
      <c r="M70" s="51" t="n"/>
      <c r="N70" s="50">
        <f>IF(G70="","",G70-TODAY())</f>
        <v/>
      </c>
      <c r="O70" s="34" t="n"/>
      <c r="P70" s="38" t="n"/>
    </row>
    <row r="71">
      <c r="A71" s="32" t="n"/>
      <c r="B71" s="32" t="n"/>
      <c r="C71" s="32" t="n"/>
      <c r="D71" s="40" t="n"/>
      <c r="E71" s="32" t="n"/>
      <c r="F71" s="33" t="n"/>
      <c r="G71" s="33" t="n"/>
      <c r="H71" s="32" t="n"/>
      <c r="I71" s="52" t="n"/>
      <c r="J71" s="41" t="n"/>
      <c r="K71" s="52" t="n"/>
      <c r="L71" s="33" t="n"/>
      <c r="M71" s="52" t="n"/>
      <c r="N71" s="50">
        <f>IF(G71="","",G71-TODAY())</f>
        <v/>
      </c>
      <c r="O71" s="32" t="n"/>
      <c r="P71" s="40" t="n"/>
    </row>
    <row r="72">
      <c r="A72" s="34" t="n"/>
      <c r="B72" s="34" t="n"/>
      <c r="C72" s="34" t="n"/>
      <c r="D72" s="38" t="n"/>
      <c r="E72" s="34" t="n"/>
      <c r="F72" s="35" t="n"/>
      <c r="G72" s="35" t="n"/>
      <c r="H72" s="34" t="n"/>
      <c r="I72" s="51" t="n"/>
      <c r="J72" s="39" t="n"/>
      <c r="K72" s="51" t="n"/>
      <c r="L72" s="35" t="n"/>
      <c r="M72" s="51" t="n"/>
      <c r="N72" s="50">
        <f>IF(G72="","",G72-TODAY())</f>
        <v/>
      </c>
      <c r="O72" s="34" t="n"/>
      <c r="P72" s="38" t="n"/>
    </row>
    <row r="73">
      <c r="A73" s="32" t="n"/>
      <c r="B73" s="32" t="n"/>
      <c r="C73" s="32" t="n"/>
      <c r="D73" s="40" t="n"/>
      <c r="E73" s="32" t="n"/>
      <c r="F73" s="33" t="n"/>
      <c r="G73" s="33" t="n"/>
      <c r="H73" s="32" t="n"/>
      <c r="I73" s="52" t="n"/>
      <c r="J73" s="41" t="n"/>
      <c r="K73" s="52" t="n"/>
      <c r="L73" s="33" t="n"/>
      <c r="M73" s="52" t="n"/>
      <c r="N73" s="50">
        <f>IF(G73="","",G73-TODAY())</f>
        <v/>
      </c>
      <c r="O73" s="32" t="n"/>
      <c r="P73" s="40" t="n"/>
    </row>
    <row r="74">
      <c r="A74" s="34" t="n"/>
      <c r="B74" s="34" t="n"/>
      <c r="C74" s="34" t="n"/>
      <c r="D74" s="38" t="n"/>
      <c r="E74" s="34" t="n"/>
      <c r="F74" s="35" t="n"/>
      <c r="G74" s="35" t="n"/>
      <c r="H74" s="34" t="n"/>
      <c r="I74" s="51" t="n"/>
      <c r="J74" s="39" t="n"/>
      <c r="K74" s="51" t="n"/>
      <c r="L74" s="35" t="n"/>
      <c r="M74" s="51" t="n"/>
      <c r="N74" s="50">
        <f>IF(G74="","",G74-TODAY())</f>
        <v/>
      </c>
      <c r="O74" s="34" t="n"/>
      <c r="P74" s="38" t="n"/>
    </row>
    <row r="75">
      <c r="A75" s="32" t="n"/>
      <c r="B75" s="32" t="n"/>
      <c r="C75" s="32" t="n"/>
      <c r="D75" s="40" t="n"/>
      <c r="E75" s="32" t="n"/>
      <c r="F75" s="33" t="n"/>
      <c r="G75" s="33" t="n"/>
      <c r="H75" s="32" t="n"/>
      <c r="I75" s="52" t="n"/>
      <c r="J75" s="41" t="n"/>
      <c r="K75" s="52" t="n"/>
      <c r="L75" s="33" t="n"/>
      <c r="M75" s="52" t="n"/>
      <c r="N75" s="50">
        <f>IF(G75="","",G75-TODAY())</f>
        <v/>
      </c>
      <c r="O75" s="32" t="n"/>
      <c r="P75" s="40" t="n"/>
    </row>
    <row r="76">
      <c r="A76" s="34" t="n"/>
      <c r="B76" s="34" t="n"/>
      <c r="C76" s="34" t="n"/>
      <c r="D76" s="38" t="n"/>
      <c r="E76" s="34" t="n"/>
      <c r="F76" s="35" t="n"/>
      <c r="G76" s="35" t="n"/>
      <c r="H76" s="34" t="n"/>
      <c r="I76" s="51" t="n"/>
      <c r="J76" s="39" t="n"/>
      <c r="K76" s="51" t="n"/>
      <c r="L76" s="35" t="n"/>
      <c r="M76" s="51" t="n"/>
      <c r="N76" s="50">
        <f>IF(G76="","",G76-TODAY())</f>
        <v/>
      </c>
      <c r="O76" s="34" t="n"/>
      <c r="P76" s="38" t="n"/>
    </row>
    <row r="77">
      <c r="A77" s="32" t="n"/>
      <c r="B77" s="32" t="n"/>
      <c r="C77" s="32" t="n"/>
      <c r="D77" s="40" t="n"/>
      <c r="E77" s="32" t="n"/>
      <c r="F77" s="33" t="n"/>
      <c r="G77" s="33" t="n"/>
      <c r="H77" s="32" t="n"/>
      <c r="I77" s="52" t="n"/>
      <c r="J77" s="41" t="n"/>
      <c r="K77" s="52" t="n"/>
      <c r="L77" s="33" t="n"/>
      <c r="M77" s="52" t="n"/>
      <c r="N77" s="50">
        <f>IF(G77="","",G77-TODAY())</f>
        <v/>
      </c>
      <c r="O77" s="32" t="n"/>
      <c r="P77" s="40" t="n"/>
    </row>
    <row r="78">
      <c r="A78" s="34" t="n"/>
      <c r="B78" s="34" t="n"/>
      <c r="C78" s="34" t="n"/>
      <c r="D78" s="38" t="n"/>
      <c r="E78" s="34" t="n"/>
      <c r="F78" s="35" t="n"/>
      <c r="G78" s="35" t="n"/>
      <c r="H78" s="34" t="n"/>
      <c r="I78" s="51" t="n"/>
      <c r="J78" s="39" t="n"/>
      <c r="K78" s="51" t="n"/>
      <c r="L78" s="35" t="n"/>
      <c r="M78" s="51" t="n"/>
      <c r="N78" s="50">
        <f>IF(G78="","",G78-TODAY())</f>
        <v/>
      </c>
      <c r="O78" s="34" t="n"/>
      <c r="P78" s="38" t="n"/>
    </row>
    <row r="79">
      <c r="A79" s="32" t="n"/>
      <c r="B79" s="32" t="n"/>
      <c r="C79" s="32" t="n"/>
      <c r="D79" s="40" t="n"/>
      <c r="E79" s="32" t="n"/>
      <c r="F79" s="33" t="n"/>
      <c r="G79" s="33" t="n"/>
      <c r="H79" s="32" t="n"/>
      <c r="I79" s="52" t="n"/>
      <c r="J79" s="41" t="n"/>
      <c r="K79" s="52" t="n"/>
      <c r="L79" s="33" t="n"/>
      <c r="M79" s="52" t="n"/>
      <c r="N79" s="50">
        <f>IF(G79="","",G79-TODAY())</f>
        <v/>
      </c>
      <c r="O79" s="32" t="n"/>
      <c r="P79" s="40" t="n"/>
    </row>
    <row r="80">
      <c r="A80" s="34" t="n"/>
      <c r="B80" s="34" t="n"/>
      <c r="C80" s="34" t="n"/>
      <c r="D80" s="38" t="n"/>
      <c r="E80" s="34" t="n"/>
      <c r="F80" s="35" t="n"/>
      <c r="G80" s="35" t="n"/>
      <c r="H80" s="34" t="n"/>
      <c r="I80" s="51" t="n"/>
      <c r="J80" s="39" t="n"/>
      <c r="K80" s="51" t="n"/>
      <c r="L80" s="35" t="n"/>
      <c r="M80" s="51" t="n"/>
      <c r="N80" s="50">
        <f>IF(G80="","",G80-TODAY())</f>
        <v/>
      </c>
      <c r="O80" s="34" t="n"/>
      <c r="P80" s="38" t="n"/>
    </row>
    <row r="81">
      <c r="A81" s="32" t="n"/>
      <c r="B81" s="32" t="n"/>
      <c r="C81" s="32" t="n"/>
      <c r="D81" s="40" t="n"/>
      <c r="E81" s="32" t="n"/>
      <c r="F81" s="33" t="n"/>
      <c r="G81" s="33" t="n"/>
      <c r="H81" s="32" t="n"/>
      <c r="I81" s="52" t="n"/>
      <c r="J81" s="41" t="n"/>
      <c r="K81" s="52" t="n"/>
      <c r="L81" s="33" t="n"/>
      <c r="M81" s="52" t="n"/>
      <c r="N81" s="50">
        <f>IF(G81="","",G81-TODAY())</f>
        <v/>
      </c>
      <c r="O81" s="32" t="n"/>
      <c r="P81" s="40" t="n"/>
    </row>
    <row r="82">
      <c r="A82" s="34" t="n"/>
      <c r="B82" s="34" t="n"/>
      <c r="C82" s="34" t="n"/>
      <c r="D82" s="38" t="n"/>
      <c r="E82" s="34" t="n"/>
      <c r="F82" s="35" t="n"/>
      <c r="G82" s="35" t="n"/>
      <c r="H82" s="34" t="n"/>
      <c r="I82" s="51" t="n"/>
      <c r="J82" s="39" t="n"/>
      <c r="K82" s="51" t="n"/>
      <c r="L82" s="35" t="n"/>
      <c r="M82" s="51" t="n"/>
      <c r="N82" s="50">
        <f>IF(G82="","",G82-TODAY())</f>
        <v/>
      </c>
      <c r="O82" s="34" t="n"/>
      <c r="P82" s="38" t="n"/>
    </row>
    <row r="83">
      <c r="A83" s="32" t="n"/>
      <c r="B83" s="32" t="n"/>
      <c r="C83" s="32" t="n"/>
      <c r="D83" s="40" t="n"/>
      <c r="E83" s="32" t="n"/>
      <c r="F83" s="33" t="n"/>
      <c r="G83" s="33" t="n"/>
      <c r="H83" s="32" t="n"/>
      <c r="I83" s="52" t="n"/>
      <c r="J83" s="41" t="n"/>
      <c r="K83" s="52" t="n"/>
      <c r="L83" s="33" t="n"/>
      <c r="M83" s="52" t="n"/>
      <c r="N83" s="50">
        <f>IF(G83="","",G83-TODAY())</f>
        <v/>
      </c>
      <c r="O83" s="32" t="n"/>
      <c r="P83" s="40" t="n"/>
    </row>
    <row r="84">
      <c r="A84" s="34" t="n"/>
      <c r="B84" s="34" t="n"/>
      <c r="C84" s="34" t="n"/>
      <c r="D84" s="38" t="n"/>
      <c r="E84" s="34" t="n"/>
      <c r="F84" s="35" t="n"/>
      <c r="G84" s="35" t="n"/>
      <c r="H84" s="34" t="n"/>
      <c r="I84" s="51" t="n"/>
      <c r="J84" s="39" t="n"/>
      <c r="K84" s="51" t="n"/>
      <c r="L84" s="35" t="n"/>
      <c r="M84" s="51" t="n"/>
      <c r="N84" s="50">
        <f>IF(G84="","",G84-TODAY())</f>
        <v/>
      </c>
      <c r="O84" s="34" t="n"/>
      <c r="P84" s="38" t="n"/>
    </row>
    <row r="85">
      <c r="A85" s="32" t="n"/>
      <c r="B85" s="32" t="n"/>
      <c r="C85" s="32" t="n"/>
      <c r="D85" s="40" t="n"/>
      <c r="E85" s="32" t="n"/>
      <c r="F85" s="33" t="n"/>
      <c r="G85" s="33" t="n"/>
      <c r="H85" s="32" t="n"/>
      <c r="I85" s="52" t="n"/>
      <c r="J85" s="41" t="n"/>
      <c r="K85" s="52" t="n"/>
      <c r="L85" s="33" t="n"/>
      <c r="M85" s="52" t="n"/>
      <c r="N85" s="50">
        <f>IF(G85="","",G85-TODAY())</f>
        <v/>
      </c>
      <c r="O85" s="32" t="n"/>
      <c r="P85" s="40" t="n"/>
    </row>
    <row r="86">
      <c r="A86" s="34" t="n"/>
      <c r="B86" s="34" t="n"/>
      <c r="C86" s="34" t="n"/>
      <c r="D86" s="38" t="n"/>
      <c r="E86" s="34" t="n"/>
      <c r="F86" s="35" t="n"/>
      <c r="G86" s="35" t="n"/>
      <c r="H86" s="34" t="n"/>
      <c r="I86" s="51" t="n"/>
      <c r="J86" s="39" t="n"/>
      <c r="K86" s="51" t="n"/>
      <c r="L86" s="35" t="n"/>
      <c r="M86" s="51" t="n"/>
      <c r="N86" s="50">
        <f>IF(G86="","",G86-TODAY())</f>
        <v/>
      </c>
      <c r="O86" s="34" t="n"/>
      <c r="P86" s="38" t="n"/>
    </row>
    <row r="87">
      <c r="A87" s="32" t="n"/>
      <c r="B87" s="32" t="n"/>
      <c r="C87" s="32" t="n"/>
      <c r="D87" s="40" t="n"/>
      <c r="E87" s="32" t="n"/>
      <c r="F87" s="33" t="n"/>
      <c r="G87" s="33" t="n"/>
      <c r="H87" s="32" t="n"/>
      <c r="I87" s="52" t="n"/>
      <c r="J87" s="41" t="n"/>
      <c r="K87" s="52" t="n"/>
      <c r="L87" s="33" t="n"/>
      <c r="M87" s="52" t="n"/>
      <c r="N87" s="50">
        <f>IF(G87="","",G87-TODAY())</f>
        <v/>
      </c>
      <c r="O87" s="32" t="n"/>
      <c r="P87" s="40" t="n"/>
    </row>
    <row r="88">
      <c r="A88" s="34" t="n"/>
      <c r="B88" s="34" t="n"/>
      <c r="C88" s="34" t="n"/>
      <c r="D88" s="38" t="n"/>
      <c r="E88" s="34" t="n"/>
      <c r="F88" s="35" t="n"/>
      <c r="G88" s="35" t="n"/>
      <c r="H88" s="34" t="n"/>
      <c r="I88" s="51" t="n"/>
      <c r="J88" s="39" t="n"/>
      <c r="K88" s="51" t="n"/>
      <c r="L88" s="35" t="n"/>
      <c r="M88" s="51" t="n"/>
      <c r="N88" s="50">
        <f>IF(G88="","",G88-TODAY())</f>
        <v/>
      </c>
      <c r="O88" s="34" t="n"/>
      <c r="P88" s="38" t="n"/>
    </row>
    <row r="89">
      <c r="A89" s="32" t="n"/>
      <c r="B89" s="32" t="n"/>
      <c r="C89" s="32" t="n"/>
      <c r="D89" s="40" t="n"/>
      <c r="E89" s="32" t="n"/>
      <c r="F89" s="33" t="n"/>
      <c r="G89" s="33" t="n"/>
      <c r="H89" s="32" t="n"/>
      <c r="I89" s="52" t="n"/>
      <c r="J89" s="41" t="n"/>
      <c r="K89" s="52" t="n"/>
      <c r="L89" s="33" t="n"/>
      <c r="M89" s="52" t="n"/>
      <c r="N89" s="50">
        <f>IF(G89="","",G89-TODAY())</f>
        <v/>
      </c>
      <c r="O89" s="32" t="n"/>
      <c r="P89" s="40" t="n"/>
    </row>
    <row r="90">
      <c r="A90" s="34" t="n"/>
      <c r="B90" s="34" t="n"/>
      <c r="C90" s="34" t="n"/>
      <c r="D90" s="38" t="n"/>
      <c r="E90" s="34" t="n"/>
      <c r="F90" s="35" t="n"/>
      <c r="G90" s="35" t="n"/>
      <c r="H90" s="34" t="n"/>
      <c r="I90" s="51" t="n"/>
      <c r="J90" s="39" t="n"/>
      <c r="K90" s="51" t="n"/>
      <c r="L90" s="35" t="n"/>
      <c r="M90" s="51" t="n"/>
      <c r="N90" s="50">
        <f>IF(G90="","",G90-TODAY())</f>
        <v/>
      </c>
      <c r="O90" s="34" t="n"/>
      <c r="P90" s="38" t="n"/>
    </row>
    <row r="91">
      <c r="A91" s="32" t="n"/>
      <c r="B91" s="32" t="n"/>
      <c r="C91" s="32" t="n"/>
      <c r="D91" s="40" t="n"/>
      <c r="E91" s="32" t="n"/>
      <c r="F91" s="33" t="n"/>
      <c r="G91" s="33" t="n"/>
      <c r="H91" s="32" t="n"/>
      <c r="I91" s="52" t="n"/>
      <c r="J91" s="41" t="n"/>
      <c r="K91" s="52" t="n"/>
      <c r="L91" s="33" t="n"/>
      <c r="M91" s="52" t="n"/>
      <c r="N91" s="50">
        <f>IF(G91="","",G91-TODAY())</f>
        <v/>
      </c>
      <c r="O91" s="32" t="n"/>
      <c r="P91" s="40" t="n"/>
    </row>
    <row r="92">
      <c r="A92" s="34" t="n"/>
      <c r="B92" s="34" t="n"/>
      <c r="C92" s="34" t="n"/>
      <c r="D92" s="38" t="n"/>
      <c r="E92" s="34" t="n"/>
      <c r="F92" s="35" t="n"/>
      <c r="G92" s="35" t="n"/>
      <c r="H92" s="34" t="n"/>
      <c r="I92" s="51" t="n"/>
      <c r="J92" s="39" t="n"/>
      <c r="K92" s="51" t="n"/>
      <c r="L92" s="35" t="n"/>
      <c r="M92" s="51" t="n"/>
      <c r="N92" s="50">
        <f>IF(G92="","",G92-TODAY())</f>
        <v/>
      </c>
      <c r="O92" s="34" t="n"/>
      <c r="P92" s="38" t="n"/>
    </row>
    <row r="93">
      <c r="A93" s="32" t="n"/>
      <c r="B93" s="32" t="n"/>
      <c r="C93" s="32" t="n"/>
      <c r="D93" s="40" t="n"/>
      <c r="E93" s="32" t="n"/>
      <c r="F93" s="33" t="n"/>
      <c r="G93" s="33" t="n"/>
      <c r="H93" s="32" t="n"/>
      <c r="I93" s="52" t="n"/>
      <c r="J93" s="41" t="n"/>
      <c r="K93" s="52" t="n"/>
      <c r="L93" s="33" t="n"/>
      <c r="M93" s="52" t="n"/>
      <c r="N93" s="50">
        <f>IF(G93="","",G93-TODAY())</f>
        <v/>
      </c>
      <c r="O93" s="32" t="n"/>
      <c r="P93" s="40" t="n"/>
    </row>
    <row r="94">
      <c r="A94" s="34" t="n"/>
      <c r="B94" s="34" t="n"/>
      <c r="C94" s="34" t="n"/>
      <c r="D94" s="38" t="n"/>
      <c r="E94" s="34" t="n"/>
      <c r="F94" s="35" t="n"/>
      <c r="G94" s="35" t="n"/>
      <c r="H94" s="34" t="n"/>
      <c r="I94" s="51" t="n"/>
      <c r="J94" s="39" t="n"/>
      <c r="K94" s="51" t="n"/>
      <c r="L94" s="35" t="n"/>
      <c r="M94" s="51" t="n"/>
      <c r="N94" s="50">
        <f>IF(G94="","",G94-TODAY())</f>
        <v/>
      </c>
      <c r="O94" s="34" t="n"/>
      <c r="P94" s="38" t="n"/>
    </row>
    <row r="95">
      <c r="A95" s="32" t="n"/>
      <c r="B95" s="32" t="n"/>
      <c r="C95" s="32" t="n"/>
      <c r="D95" s="40" t="n"/>
      <c r="E95" s="32" t="n"/>
      <c r="F95" s="33" t="n"/>
      <c r="G95" s="33" t="n"/>
      <c r="H95" s="32" t="n"/>
      <c r="I95" s="52" t="n"/>
      <c r="J95" s="41" t="n"/>
      <c r="K95" s="52" t="n"/>
      <c r="L95" s="33" t="n"/>
      <c r="M95" s="52" t="n"/>
      <c r="N95" s="50">
        <f>IF(G95="","",G95-TODAY())</f>
        <v/>
      </c>
      <c r="O95" s="32" t="n"/>
      <c r="P95" s="40" t="n"/>
    </row>
    <row r="96">
      <c r="A96" s="34" t="n"/>
      <c r="B96" s="34" t="n"/>
      <c r="C96" s="34" t="n"/>
      <c r="D96" s="38" t="n"/>
      <c r="E96" s="34" t="n"/>
      <c r="F96" s="35" t="n"/>
      <c r="G96" s="35" t="n"/>
      <c r="H96" s="34" t="n"/>
      <c r="I96" s="51" t="n"/>
      <c r="J96" s="39" t="n"/>
      <c r="K96" s="51" t="n"/>
      <c r="L96" s="35" t="n"/>
      <c r="M96" s="51" t="n"/>
      <c r="N96" s="50">
        <f>IF(G96="","",G96-TODAY())</f>
        <v/>
      </c>
      <c r="O96" s="34" t="n"/>
      <c r="P96" s="38" t="n"/>
    </row>
    <row r="97">
      <c r="A97" s="32" t="n"/>
      <c r="B97" s="32" t="n"/>
      <c r="C97" s="32" t="n"/>
      <c r="D97" s="40" t="n"/>
      <c r="E97" s="32" t="n"/>
      <c r="F97" s="33" t="n"/>
      <c r="G97" s="33" t="n"/>
      <c r="H97" s="32" t="n"/>
      <c r="I97" s="52" t="n"/>
      <c r="J97" s="41" t="n"/>
      <c r="K97" s="52" t="n"/>
      <c r="L97" s="33" t="n"/>
      <c r="M97" s="52" t="n"/>
      <c r="N97" s="50">
        <f>IF(G97="","",G97-TODAY())</f>
        <v/>
      </c>
      <c r="O97" s="32" t="n"/>
      <c r="P97" s="40" t="n"/>
    </row>
    <row r="98">
      <c r="A98" s="34" t="n"/>
      <c r="B98" s="34" t="n"/>
      <c r="C98" s="34" t="n"/>
      <c r="D98" s="38" t="n"/>
      <c r="E98" s="34" t="n"/>
      <c r="F98" s="35" t="n"/>
      <c r="G98" s="35" t="n"/>
      <c r="H98" s="34" t="n"/>
      <c r="I98" s="51" t="n"/>
      <c r="J98" s="39" t="n"/>
      <c r="K98" s="51" t="n"/>
      <c r="L98" s="35" t="n"/>
      <c r="M98" s="51" t="n"/>
      <c r="N98" s="50">
        <f>IF(G98="","",G98-TODAY())</f>
        <v/>
      </c>
      <c r="O98" s="34" t="n"/>
      <c r="P98" s="38" t="n"/>
    </row>
    <row r="99">
      <c r="A99" s="32" t="n"/>
      <c r="B99" s="32" t="n"/>
      <c r="C99" s="32" t="n"/>
      <c r="D99" s="40" t="n"/>
      <c r="E99" s="32" t="n"/>
      <c r="F99" s="33" t="n"/>
      <c r="G99" s="33" t="n"/>
      <c r="H99" s="32" t="n"/>
      <c r="I99" s="52" t="n"/>
      <c r="J99" s="41" t="n"/>
      <c r="K99" s="52" t="n"/>
      <c r="L99" s="33" t="n"/>
      <c r="M99" s="52" t="n"/>
      <c r="N99" s="50">
        <f>IF(G99="","",G99-TODAY())</f>
        <v/>
      </c>
      <c r="O99" s="32" t="n"/>
      <c r="P99" s="40" t="n"/>
    </row>
    <row r="100">
      <c r="A100" s="34" t="n"/>
      <c r="B100" s="34" t="n"/>
      <c r="C100" s="34" t="n"/>
      <c r="D100" s="38" t="n"/>
      <c r="E100" s="34" t="n"/>
      <c r="F100" s="35" t="n"/>
      <c r="G100" s="35" t="n"/>
      <c r="H100" s="34" t="n"/>
      <c r="I100" s="51" t="n"/>
      <c r="J100" s="39" t="n"/>
      <c r="K100" s="51" t="n"/>
      <c r="L100" s="35" t="n"/>
      <c r="M100" s="51" t="n"/>
      <c r="N100" s="50">
        <f>IF(G100="","",G100-TODAY())</f>
        <v/>
      </c>
      <c r="O100" s="34" t="n"/>
      <c r="P100" s="38" t="n"/>
    </row>
    <row r="101">
      <c r="A101" s="32" t="n"/>
      <c r="B101" s="32" t="n"/>
      <c r="C101" s="32" t="n"/>
      <c r="D101" s="40" t="n"/>
      <c r="E101" s="32" t="n"/>
      <c r="F101" s="33" t="n"/>
      <c r="G101" s="33" t="n"/>
      <c r="H101" s="32" t="n"/>
      <c r="I101" s="52" t="n"/>
      <c r="J101" s="41" t="n"/>
      <c r="K101" s="52" t="n"/>
      <c r="L101" s="33" t="n"/>
      <c r="M101" s="52" t="n"/>
      <c r="N101" s="50">
        <f>IF(G101="","",G101-TODAY())</f>
        <v/>
      </c>
      <c r="O101" s="32" t="n"/>
      <c r="P101" s="40" t="n"/>
    </row>
    <row r="102">
      <c r="A102" s="34" t="n"/>
      <c r="B102" s="34" t="n"/>
      <c r="C102" s="34" t="n"/>
      <c r="D102" s="38" t="n"/>
      <c r="E102" s="34" t="n"/>
      <c r="F102" s="35" t="n"/>
      <c r="G102" s="35" t="n"/>
      <c r="H102" s="34" t="n"/>
      <c r="I102" s="51" t="n"/>
      <c r="J102" s="39" t="n"/>
      <c r="K102" s="51" t="n"/>
      <c r="L102" s="35" t="n"/>
      <c r="M102" s="51" t="n"/>
      <c r="N102" s="50">
        <f>IF(G102="","",G102-TODAY())</f>
        <v/>
      </c>
      <c r="O102" s="34" t="n"/>
      <c r="P102" s="38" t="n"/>
    </row>
    <row r="103">
      <c r="A103" s="32" t="n"/>
      <c r="B103" s="32" t="n"/>
      <c r="C103" s="32" t="n"/>
      <c r="D103" s="40" t="n"/>
      <c r="E103" s="32" t="n"/>
      <c r="F103" s="33" t="n"/>
      <c r="G103" s="33" t="n"/>
      <c r="H103" s="32" t="n"/>
      <c r="I103" s="52" t="n"/>
      <c r="J103" s="41" t="n"/>
      <c r="K103" s="52" t="n"/>
      <c r="L103" s="33" t="n"/>
      <c r="M103" s="52" t="n"/>
      <c r="N103" s="50">
        <f>IF(G103="","",G103-TODAY())</f>
        <v/>
      </c>
      <c r="O103" s="32" t="n"/>
      <c r="P103" s="40" t="n"/>
    </row>
    <row r="104">
      <c r="A104" s="34" t="n"/>
      <c r="B104" s="34" t="n"/>
      <c r="C104" s="34" t="n"/>
      <c r="D104" s="38" t="n"/>
      <c r="E104" s="34" t="n"/>
      <c r="F104" s="35" t="n"/>
      <c r="G104" s="35" t="n"/>
      <c r="H104" s="34" t="n"/>
      <c r="I104" s="51" t="n"/>
      <c r="J104" s="39" t="n"/>
      <c r="K104" s="51" t="n"/>
      <c r="L104" s="35" t="n"/>
      <c r="M104" s="51" t="n"/>
      <c r="N104" s="50">
        <f>IF(G104="","",G104-TODAY())</f>
        <v/>
      </c>
      <c r="O104" s="34" t="n"/>
      <c r="P104" s="38" t="n"/>
    </row>
    <row r="105">
      <c r="A105" s="32" t="n"/>
      <c r="B105" s="32" t="n"/>
      <c r="C105" s="32" t="n"/>
      <c r="D105" s="40" t="n"/>
      <c r="E105" s="32" t="n"/>
      <c r="F105" s="33" t="n"/>
      <c r="G105" s="33" t="n"/>
      <c r="H105" s="32" t="n"/>
      <c r="I105" s="52" t="n"/>
      <c r="J105" s="41" t="n"/>
      <c r="K105" s="52" t="n"/>
      <c r="L105" s="33" t="n"/>
      <c r="M105" s="52" t="n"/>
      <c r="N105" s="50">
        <f>IF(G105="","",G105-TODAY())</f>
        <v/>
      </c>
      <c r="O105" s="32" t="n"/>
      <c r="P105" s="40" t="n"/>
    </row>
    <row r="106">
      <c r="A106" s="34" t="n"/>
      <c r="B106" s="34" t="n"/>
      <c r="C106" s="34" t="n"/>
      <c r="D106" s="38" t="n"/>
      <c r="E106" s="34" t="n"/>
      <c r="F106" s="35" t="n"/>
      <c r="G106" s="35" t="n"/>
      <c r="H106" s="34" t="n"/>
      <c r="I106" s="51" t="n"/>
      <c r="J106" s="39" t="n"/>
      <c r="K106" s="51" t="n"/>
      <c r="L106" s="35" t="n"/>
      <c r="M106" s="51" t="n"/>
      <c r="N106" s="50">
        <f>IF(G106="","",G106-TODAY())</f>
        <v/>
      </c>
      <c r="O106" s="34" t="n"/>
      <c r="P106" s="38" t="n"/>
    </row>
    <row r="107">
      <c r="A107" s="32" t="n"/>
      <c r="B107" s="32" t="n"/>
      <c r="C107" s="32" t="n"/>
      <c r="D107" s="40" t="n"/>
      <c r="E107" s="32" t="n"/>
      <c r="F107" s="33" t="n"/>
      <c r="G107" s="33" t="n"/>
      <c r="H107" s="32" t="n"/>
      <c r="I107" s="52" t="n"/>
      <c r="J107" s="41" t="n"/>
      <c r="K107" s="52" t="n"/>
      <c r="L107" s="33" t="n"/>
      <c r="M107" s="52" t="n"/>
      <c r="N107" s="50">
        <f>IF(G107="","",G107-TODAY())</f>
        <v/>
      </c>
      <c r="O107" s="32" t="n"/>
      <c r="P107" s="40" t="n"/>
    </row>
    <row r="108">
      <c r="A108" s="34" t="n"/>
      <c r="B108" s="34" t="n"/>
      <c r="C108" s="34" t="n"/>
      <c r="D108" s="38" t="n"/>
      <c r="E108" s="34" t="n"/>
      <c r="F108" s="35" t="n"/>
      <c r="G108" s="35" t="n"/>
      <c r="H108" s="34" t="n"/>
      <c r="I108" s="51" t="n"/>
      <c r="J108" s="39" t="n"/>
      <c r="K108" s="51" t="n"/>
      <c r="L108" s="35" t="n"/>
      <c r="M108" s="51" t="n"/>
      <c r="N108" s="50">
        <f>IF(G108="","",G108-TODAY())</f>
        <v/>
      </c>
      <c r="O108" s="34" t="n"/>
      <c r="P108" s="38" t="n"/>
    </row>
    <row r="109">
      <c r="A109" s="32" t="n"/>
      <c r="B109" s="32" t="n"/>
      <c r="C109" s="32" t="n"/>
      <c r="D109" s="40" t="n"/>
      <c r="E109" s="32" t="n"/>
      <c r="F109" s="33" t="n"/>
      <c r="G109" s="33" t="n"/>
      <c r="H109" s="32" t="n"/>
      <c r="I109" s="52" t="n"/>
      <c r="J109" s="41" t="n"/>
      <c r="K109" s="52" t="n"/>
      <c r="L109" s="33" t="n"/>
      <c r="M109" s="52" t="n"/>
      <c r="N109" s="50">
        <f>IF(G109="","",G109-TODAY())</f>
        <v/>
      </c>
      <c r="O109" s="32" t="n"/>
      <c r="P109" s="40" t="n"/>
    </row>
    <row r="110">
      <c r="A110" s="34" t="n"/>
      <c r="B110" s="34" t="n"/>
      <c r="C110" s="34" t="n"/>
      <c r="D110" s="38" t="n"/>
      <c r="E110" s="34" t="n"/>
      <c r="F110" s="35" t="n"/>
      <c r="G110" s="35" t="n"/>
      <c r="H110" s="34" t="n"/>
      <c r="I110" s="51" t="n"/>
      <c r="J110" s="39" t="n"/>
      <c r="K110" s="51" t="n"/>
      <c r="L110" s="35" t="n"/>
      <c r="M110" s="51" t="n"/>
      <c r="N110" s="50">
        <f>IF(G110="","",G110-TODAY())</f>
        <v/>
      </c>
      <c r="O110" s="34" t="n"/>
      <c r="P110" s="38" t="n"/>
    </row>
    <row r="111">
      <c r="A111" s="32" t="n"/>
      <c r="B111" s="32" t="n"/>
      <c r="C111" s="32" t="n"/>
      <c r="D111" s="40" t="n"/>
      <c r="E111" s="32" t="n"/>
      <c r="F111" s="33" t="n"/>
      <c r="G111" s="33" t="n"/>
      <c r="H111" s="32" t="n"/>
      <c r="I111" s="52" t="n"/>
      <c r="J111" s="41" t="n"/>
      <c r="K111" s="52" t="n"/>
      <c r="L111" s="33" t="n"/>
      <c r="M111" s="52" t="n"/>
      <c r="N111" s="50">
        <f>IF(G111="","",G111-TODAY())</f>
        <v/>
      </c>
      <c r="O111" s="32" t="n"/>
      <c r="P111" s="40" t="n"/>
    </row>
    <row r="112">
      <c r="A112" s="34" t="n"/>
      <c r="B112" s="34" t="n"/>
      <c r="C112" s="34" t="n"/>
      <c r="D112" s="38" t="n"/>
      <c r="E112" s="34" t="n"/>
      <c r="F112" s="35" t="n"/>
      <c r="G112" s="35" t="n"/>
      <c r="H112" s="34" t="n"/>
      <c r="I112" s="51" t="n"/>
      <c r="J112" s="39" t="n"/>
      <c r="K112" s="51" t="n"/>
      <c r="L112" s="35" t="n"/>
      <c r="M112" s="51" t="n"/>
      <c r="N112" s="50">
        <f>IF(G112="","",G112-TODAY())</f>
        <v/>
      </c>
      <c r="O112" s="34" t="n"/>
      <c r="P112" s="38" t="n"/>
    </row>
    <row r="113">
      <c r="A113" s="32" t="n"/>
      <c r="B113" s="32" t="n"/>
      <c r="C113" s="32" t="n"/>
      <c r="D113" s="40" t="n"/>
      <c r="E113" s="32" t="n"/>
      <c r="F113" s="33" t="n"/>
      <c r="G113" s="33" t="n"/>
      <c r="H113" s="32" t="n"/>
      <c r="I113" s="52" t="n"/>
      <c r="J113" s="41" t="n"/>
      <c r="K113" s="52" t="n"/>
      <c r="L113" s="33" t="n"/>
      <c r="M113" s="52" t="n"/>
      <c r="N113" s="50">
        <f>IF(G113="","",G113-TODAY())</f>
        <v/>
      </c>
      <c r="O113" s="32" t="n"/>
      <c r="P113" s="40" t="n"/>
    </row>
    <row r="114">
      <c r="A114" s="34" t="n"/>
      <c r="B114" s="34" t="n"/>
      <c r="C114" s="34" t="n"/>
      <c r="D114" s="38" t="n"/>
      <c r="E114" s="34" t="n"/>
      <c r="F114" s="35" t="n"/>
      <c r="G114" s="35" t="n"/>
      <c r="H114" s="34" t="n"/>
      <c r="I114" s="51" t="n"/>
      <c r="J114" s="39" t="n"/>
      <c r="K114" s="51" t="n"/>
      <c r="L114" s="35" t="n"/>
      <c r="M114" s="51" t="n"/>
      <c r="N114" s="50">
        <f>IF(G114="","",G114-TODAY())</f>
        <v/>
      </c>
      <c r="O114" s="34" t="n"/>
      <c r="P114" s="38" t="n"/>
    </row>
    <row r="115">
      <c r="A115" s="32" t="n"/>
      <c r="B115" s="32" t="n"/>
      <c r="C115" s="32" t="n"/>
      <c r="D115" s="40" t="n"/>
      <c r="E115" s="32" t="n"/>
      <c r="F115" s="33" t="n"/>
      <c r="G115" s="33" t="n"/>
      <c r="H115" s="32" t="n"/>
      <c r="I115" s="52" t="n"/>
      <c r="J115" s="41" t="n"/>
      <c r="K115" s="52" t="n"/>
      <c r="L115" s="33" t="n"/>
      <c r="M115" s="52" t="n"/>
      <c r="N115" s="50">
        <f>IF(G115="","",G115-TODAY())</f>
        <v/>
      </c>
      <c r="O115" s="32" t="n"/>
      <c r="P115" s="40" t="n"/>
    </row>
    <row r="116">
      <c r="A116" s="34" t="n"/>
      <c r="B116" s="34" t="n"/>
      <c r="C116" s="34" t="n"/>
      <c r="D116" s="38" t="n"/>
      <c r="E116" s="34" t="n"/>
      <c r="F116" s="35" t="n"/>
      <c r="G116" s="35" t="n"/>
      <c r="H116" s="34" t="n"/>
      <c r="I116" s="51" t="n"/>
      <c r="J116" s="39" t="n"/>
      <c r="K116" s="51" t="n"/>
      <c r="L116" s="35" t="n"/>
      <c r="M116" s="51" t="n"/>
      <c r="N116" s="50">
        <f>IF(G116="","",G116-TODAY())</f>
        <v/>
      </c>
      <c r="O116" s="34" t="n"/>
      <c r="P116" s="38" t="n"/>
    </row>
    <row r="117">
      <c r="A117" s="32" t="n"/>
      <c r="B117" s="32" t="n"/>
      <c r="C117" s="32" t="n"/>
      <c r="D117" s="40" t="n"/>
      <c r="E117" s="32" t="n"/>
      <c r="F117" s="33" t="n"/>
      <c r="G117" s="33" t="n"/>
      <c r="H117" s="32" t="n"/>
      <c r="I117" s="52" t="n"/>
      <c r="J117" s="41" t="n"/>
      <c r="K117" s="52" t="n"/>
      <c r="L117" s="33" t="n"/>
      <c r="M117" s="52" t="n"/>
      <c r="N117" s="50">
        <f>IF(G117="","",G117-TODAY())</f>
        <v/>
      </c>
      <c r="O117" s="32" t="n"/>
      <c r="P117" s="40" t="n"/>
    </row>
    <row r="118">
      <c r="A118" s="34" t="n"/>
      <c r="B118" s="34" t="n"/>
      <c r="C118" s="34" t="n"/>
      <c r="D118" s="38" t="n"/>
      <c r="E118" s="34" t="n"/>
      <c r="F118" s="35" t="n"/>
      <c r="G118" s="35" t="n"/>
      <c r="H118" s="34" t="n"/>
      <c r="I118" s="51" t="n"/>
      <c r="J118" s="39" t="n"/>
      <c r="K118" s="51" t="n"/>
      <c r="L118" s="35" t="n"/>
      <c r="M118" s="51" t="n"/>
      <c r="N118" s="50">
        <f>IF(G118="","",G118-TODAY())</f>
        <v/>
      </c>
      <c r="O118" s="34" t="n"/>
      <c r="P118" s="38" t="n"/>
    </row>
    <row r="119">
      <c r="A119" s="32" t="n"/>
      <c r="B119" s="32" t="n"/>
      <c r="C119" s="32" t="n"/>
      <c r="D119" s="40" t="n"/>
      <c r="E119" s="32" t="n"/>
      <c r="F119" s="33" t="n"/>
      <c r="G119" s="33" t="n"/>
      <c r="H119" s="32" t="n"/>
      <c r="I119" s="52" t="n"/>
      <c r="J119" s="41" t="n"/>
      <c r="K119" s="52" t="n"/>
      <c r="L119" s="33" t="n"/>
      <c r="M119" s="52" t="n"/>
      <c r="N119" s="50">
        <f>IF(G119="","",G119-TODAY())</f>
        <v/>
      </c>
      <c r="O119" s="32" t="n"/>
      <c r="P119" s="40" t="n"/>
    </row>
    <row r="120">
      <c r="A120" s="34" t="n"/>
      <c r="B120" s="34" t="n"/>
      <c r="C120" s="34" t="n"/>
      <c r="D120" s="38" t="n"/>
      <c r="E120" s="34" t="n"/>
      <c r="F120" s="35" t="n"/>
      <c r="G120" s="35" t="n"/>
      <c r="H120" s="34" t="n"/>
      <c r="I120" s="51" t="n"/>
      <c r="J120" s="39" t="n"/>
      <c r="K120" s="51" t="n"/>
      <c r="L120" s="35" t="n"/>
      <c r="M120" s="51" t="n"/>
      <c r="N120" s="50">
        <f>IF(G120="","",G120-TODAY())</f>
        <v/>
      </c>
      <c r="O120" s="34" t="n"/>
      <c r="P120" s="38" t="n"/>
    </row>
    <row r="121">
      <c r="A121" s="32" t="n"/>
      <c r="B121" s="32" t="n"/>
      <c r="C121" s="32" t="n"/>
      <c r="D121" s="40" t="n"/>
      <c r="E121" s="32" t="n"/>
      <c r="F121" s="33" t="n"/>
      <c r="G121" s="33" t="n"/>
      <c r="H121" s="32" t="n"/>
      <c r="I121" s="52" t="n"/>
      <c r="J121" s="41" t="n"/>
      <c r="K121" s="52" t="n"/>
      <c r="L121" s="33" t="n"/>
      <c r="M121" s="52" t="n"/>
      <c r="N121" s="50">
        <f>IF(G121="","",G121-TODAY())</f>
        <v/>
      </c>
      <c r="O121" s="32" t="n"/>
      <c r="P121" s="40" t="n"/>
    </row>
    <row r="122">
      <c r="A122" s="34" t="n"/>
      <c r="B122" s="34" t="n"/>
      <c r="C122" s="34" t="n"/>
      <c r="D122" s="38" t="n"/>
      <c r="E122" s="34" t="n"/>
      <c r="F122" s="35" t="n"/>
      <c r="G122" s="35" t="n"/>
      <c r="H122" s="34" t="n"/>
      <c r="I122" s="51" t="n"/>
      <c r="J122" s="39" t="n"/>
      <c r="K122" s="51" t="n"/>
      <c r="L122" s="35" t="n"/>
      <c r="M122" s="51" t="n"/>
      <c r="N122" s="50">
        <f>IF(G122="","",G122-TODAY())</f>
        <v/>
      </c>
      <c r="O122" s="34" t="n"/>
      <c r="P122" s="38" t="n"/>
    </row>
    <row r="123">
      <c r="A123" s="32" t="n"/>
      <c r="B123" s="32" t="n"/>
      <c r="C123" s="32" t="n"/>
      <c r="D123" s="40" t="n"/>
      <c r="E123" s="32" t="n"/>
      <c r="F123" s="33" t="n"/>
      <c r="G123" s="33" t="n"/>
      <c r="H123" s="32" t="n"/>
      <c r="I123" s="52" t="n"/>
      <c r="J123" s="41" t="n"/>
      <c r="K123" s="52" t="n"/>
      <c r="L123" s="33" t="n"/>
      <c r="M123" s="52" t="n"/>
      <c r="N123" s="50">
        <f>IF(G123="","",G123-TODAY())</f>
        <v/>
      </c>
      <c r="O123" s="32" t="n"/>
      <c r="P123" s="40" t="n"/>
    </row>
    <row r="124">
      <c r="A124" s="34" t="n"/>
      <c r="B124" s="34" t="n"/>
      <c r="C124" s="34" t="n"/>
      <c r="D124" s="38" t="n"/>
      <c r="E124" s="34" t="n"/>
      <c r="F124" s="35" t="n"/>
      <c r="G124" s="35" t="n"/>
      <c r="H124" s="34" t="n"/>
      <c r="I124" s="51" t="n"/>
      <c r="J124" s="39" t="n"/>
      <c r="K124" s="51" t="n"/>
      <c r="L124" s="35" t="n"/>
      <c r="M124" s="51" t="n"/>
      <c r="N124" s="50">
        <f>IF(G124="","",G124-TODAY())</f>
        <v/>
      </c>
      <c r="O124" s="34" t="n"/>
      <c r="P124" s="38" t="n"/>
    </row>
    <row r="125">
      <c r="A125" s="32" t="n"/>
      <c r="B125" s="32" t="n"/>
      <c r="C125" s="32" t="n"/>
      <c r="D125" s="40" t="n"/>
      <c r="E125" s="32" t="n"/>
      <c r="F125" s="33" t="n"/>
      <c r="G125" s="33" t="n"/>
      <c r="H125" s="32" t="n"/>
      <c r="I125" s="52" t="n"/>
      <c r="J125" s="41" t="n"/>
      <c r="K125" s="52" t="n"/>
      <c r="L125" s="33" t="n"/>
      <c r="M125" s="52" t="n"/>
      <c r="N125" s="50">
        <f>IF(G125="","",G125-TODAY())</f>
        <v/>
      </c>
      <c r="O125" s="32" t="n"/>
      <c r="P125" s="40" t="n"/>
    </row>
    <row r="126">
      <c r="A126" s="34" t="n"/>
      <c r="B126" s="34" t="n"/>
      <c r="C126" s="34" t="n"/>
      <c r="D126" s="38" t="n"/>
      <c r="E126" s="34" t="n"/>
      <c r="F126" s="35" t="n"/>
      <c r="G126" s="35" t="n"/>
      <c r="H126" s="34" t="n"/>
      <c r="I126" s="51" t="n"/>
      <c r="J126" s="39" t="n"/>
      <c r="K126" s="51" t="n"/>
      <c r="L126" s="35" t="n"/>
      <c r="M126" s="51" t="n"/>
      <c r="N126" s="50">
        <f>IF(G126="","",G126-TODAY())</f>
        <v/>
      </c>
      <c r="O126" s="34" t="n"/>
      <c r="P126" s="38" t="n"/>
    </row>
    <row r="127">
      <c r="A127" s="32" t="n"/>
      <c r="B127" s="32" t="n"/>
      <c r="C127" s="32" t="n"/>
      <c r="D127" s="40" t="n"/>
      <c r="E127" s="32" t="n"/>
      <c r="F127" s="33" t="n"/>
      <c r="G127" s="33" t="n"/>
      <c r="H127" s="32" t="n"/>
      <c r="I127" s="52" t="n"/>
      <c r="J127" s="41" t="n"/>
      <c r="K127" s="52" t="n"/>
      <c r="L127" s="33" t="n"/>
      <c r="M127" s="52" t="n"/>
      <c r="N127" s="50">
        <f>IF(G127="","",G127-TODAY())</f>
        <v/>
      </c>
      <c r="O127" s="32" t="n"/>
      <c r="P127" s="40" t="n"/>
    </row>
    <row r="128">
      <c r="A128" s="34" t="n"/>
      <c r="B128" s="34" t="n"/>
      <c r="C128" s="34" t="n"/>
      <c r="D128" s="38" t="n"/>
      <c r="E128" s="34" t="n"/>
      <c r="F128" s="35" t="n"/>
      <c r="G128" s="35" t="n"/>
      <c r="H128" s="34" t="n"/>
      <c r="I128" s="51" t="n"/>
      <c r="J128" s="39" t="n"/>
      <c r="K128" s="51" t="n"/>
      <c r="L128" s="35" t="n"/>
      <c r="M128" s="51" t="n"/>
      <c r="N128" s="50">
        <f>IF(G128="","",G128-TODAY())</f>
        <v/>
      </c>
      <c r="O128" s="34" t="n"/>
      <c r="P128" s="38" t="n"/>
    </row>
    <row r="129">
      <c r="A129" s="32" t="n"/>
      <c r="B129" s="32" t="n"/>
      <c r="C129" s="32" t="n"/>
      <c r="D129" s="40" t="n"/>
      <c r="E129" s="32" t="n"/>
      <c r="F129" s="33" t="n"/>
      <c r="G129" s="33" t="n"/>
      <c r="H129" s="32" t="n"/>
      <c r="I129" s="52" t="n"/>
      <c r="J129" s="41" t="n"/>
      <c r="K129" s="52" t="n"/>
      <c r="L129" s="33" t="n"/>
      <c r="M129" s="52" t="n"/>
      <c r="N129" s="50">
        <f>IF(G129="","",G129-TODAY())</f>
        <v/>
      </c>
      <c r="O129" s="32" t="n"/>
      <c r="P129" s="40" t="n"/>
    </row>
    <row r="130">
      <c r="A130" s="34" t="n"/>
      <c r="B130" s="34" t="n"/>
      <c r="C130" s="34" t="n"/>
      <c r="D130" s="38" t="n"/>
      <c r="E130" s="34" t="n"/>
      <c r="F130" s="35" t="n"/>
      <c r="G130" s="35" t="n"/>
      <c r="H130" s="34" t="n"/>
      <c r="I130" s="51" t="n"/>
      <c r="J130" s="39" t="n"/>
      <c r="K130" s="51" t="n"/>
      <c r="L130" s="35" t="n"/>
      <c r="M130" s="51" t="n"/>
      <c r="N130" s="50">
        <f>IF(G130="","",G130-TODAY())</f>
        <v/>
      </c>
      <c r="O130" s="34" t="n"/>
      <c r="P130" s="38" t="n"/>
    </row>
    <row r="131">
      <c r="A131" s="32" t="n"/>
      <c r="B131" s="32" t="n"/>
      <c r="C131" s="32" t="n"/>
      <c r="D131" s="40" t="n"/>
      <c r="E131" s="32" t="n"/>
      <c r="F131" s="33" t="n"/>
      <c r="G131" s="33" t="n"/>
      <c r="H131" s="32" t="n"/>
      <c r="I131" s="52" t="n"/>
      <c r="J131" s="41" t="n"/>
      <c r="K131" s="52" t="n"/>
      <c r="L131" s="33" t="n"/>
      <c r="M131" s="52" t="n"/>
      <c r="N131" s="50">
        <f>IF(G131="","",G131-TODAY())</f>
        <v/>
      </c>
      <c r="O131" s="32" t="n"/>
      <c r="P131" s="40" t="n"/>
    </row>
    <row r="132">
      <c r="A132" s="34" t="n"/>
      <c r="B132" s="34" t="n"/>
      <c r="C132" s="34" t="n"/>
      <c r="D132" s="38" t="n"/>
      <c r="E132" s="34" t="n"/>
      <c r="F132" s="35" t="n"/>
      <c r="G132" s="35" t="n"/>
      <c r="H132" s="34" t="n"/>
      <c r="I132" s="51" t="n"/>
      <c r="J132" s="39" t="n"/>
      <c r="K132" s="51" t="n"/>
      <c r="L132" s="35" t="n"/>
      <c r="M132" s="51" t="n"/>
      <c r="N132" s="50">
        <f>IF(G132="","",G132-TODAY())</f>
        <v/>
      </c>
      <c r="O132" s="34" t="n"/>
      <c r="P132" s="38" t="n"/>
    </row>
    <row r="133">
      <c r="A133" s="32" t="n"/>
      <c r="B133" s="32" t="n"/>
      <c r="C133" s="32" t="n"/>
      <c r="D133" s="40" t="n"/>
      <c r="E133" s="32" t="n"/>
      <c r="F133" s="33" t="n"/>
      <c r="G133" s="33" t="n"/>
      <c r="H133" s="32" t="n"/>
      <c r="I133" s="52" t="n"/>
      <c r="J133" s="41" t="n"/>
      <c r="K133" s="52" t="n"/>
      <c r="L133" s="33" t="n"/>
      <c r="M133" s="52" t="n"/>
      <c r="N133" s="50">
        <f>IF(G133="","",G133-TODAY())</f>
        <v/>
      </c>
      <c r="O133" s="32" t="n"/>
      <c r="P133" s="40" t="n"/>
    </row>
    <row r="134">
      <c r="A134" s="34" t="n"/>
      <c r="B134" s="34" t="n"/>
      <c r="C134" s="34" t="n"/>
      <c r="D134" s="38" t="n"/>
      <c r="E134" s="34" t="n"/>
      <c r="F134" s="35" t="n"/>
      <c r="G134" s="35" t="n"/>
      <c r="H134" s="34" t="n"/>
      <c r="I134" s="51" t="n"/>
      <c r="J134" s="39" t="n"/>
      <c r="K134" s="51" t="n"/>
      <c r="L134" s="35" t="n"/>
      <c r="M134" s="51" t="n"/>
      <c r="N134" s="50">
        <f>IF(G134="","",G134-TODAY())</f>
        <v/>
      </c>
      <c r="O134" s="34" t="n"/>
      <c r="P134" s="38" t="n"/>
    </row>
    <row r="135">
      <c r="A135" s="32" t="n"/>
      <c r="B135" s="32" t="n"/>
      <c r="C135" s="32" t="n"/>
      <c r="D135" s="40" t="n"/>
      <c r="E135" s="32" t="n"/>
      <c r="F135" s="33" t="n"/>
      <c r="G135" s="33" t="n"/>
      <c r="H135" s="32" t="n"/>
      <c r="I135" s="52" t="n"/>
      <c r="J135" s="41" t="n"/>
      <c r="K135" s="52" t="n"/>
      <c r="L135" s="33" t="n"/>
      <c r="M135" s="52" t="n"/>
      <c r="N135" s="50">
        <f>IF(G135="","",G135-TODAY())</f>
        <v/>
      </c>
      <c r="O135" s="32" t="n"/>
      <c r="P135" s="40" t="n"/>
    </row>
    <row r="136">
      <c r="A136" s="34" t="n"/>
      <c r="B136" s="34" t="n"/>
      <c r="C136" s="34" t="n"/>
      <c r="D136" s="38" t="n"/>
      <c r="E136" s="34" t="n"/>
      <c r="F136" s="35" t="n"/>
      <c r="G136" s="35" t="n"/>
      <c r="H136" s="34" t="n"/>
      <c r="I136" s="51" t="n"/>
      <c r="J136" s="39" t="n"/>
      <c r="K136" s="51" t="n"/>
      <c r="L136" s="35" t="n"/>
      <c r="M136" s="51" t="n"/>
      <c r="N136" s="50">
        <f>IF(G136="","",G136-TODAY())</f>
        <v/>
      </c>
      <c r="O136" s="34" t="n"/>
      <c r="P136" s="38" t="n"/>
    </row>
    <row r="137">
      <c r="A137" s="32" t="n"/>
      <c r="B137" s="32" t="n"/>
      <c r="C137" s="32" t="n"/>
      <c r="D137" s="40" t="n"/>
      <c r="E137" s="32" t="n"/>
      <c r="F137" s="33" t="n"/>
      <c r="G137" s="33" t="n"/>
      <c r="H137" s="32" t="n"/>
      <c r="I137" s="52" t="n"/>
      <c r="J137" s="41" t="n"/>
      <c r="K137" s="52" t="n"/>
      <c r="L137" s="33" t="n"/>
      <c r="M137" s="52" t="n"/>
      <c r="N137" s="50">
        <f>IF(G137="","",G137-TODAY())</f>
        <v/>
      </c>
      <c r="O137" s="32" t="n"/>
      <c r="P137" s="40" t="n"/>
    </row>
    <row r="138">
      <c r="A138" s="34" t="n"/>
      <c r="B138" s="34" t="n"/>
      <c r="C138" s="34" t="n"/>
      <c r="D138" s="38" t="n"/>
      <c r="E138" s="34" t="n"/>
      <c r="F138" s="35" t="n"/>
      <c r="G138" s="35" t="n"/>
      <c r="H138" s="34" t="n"/>
      <c r="I138" s="51" t="n"/>
      <c r="J138" s="39" t="n"/>
      <c r="K138" s="51" t="n"/>
      <c r="L138" s="35" t="n"/>
      <c r="M138" s="51" t="n"/>
      <c r="N138" s="50">
        <f>IF(G138="","",G138-TODAY())</f>
        <v/>
      </c>
      <c r="O138" s="34" t="n"/>
      <c r="P138" s="38" t="n"/>
    </row>
    <row r="139">
      <c r="A139" s="32" t="n"/>
      <c r="B139" s="32" t="n"/>
      <c r="C139" s="32" t="n"/>
      <c r="D139" s="40" t="n"/>
      <c r="E139" s="32" t="n"/>
      <c r="F139" s="33" t="n"/>
      <c r="G139" s="33" t="n"/>
      <c r="H139" s="32" t="n"/>
      <c r="I139" s="52" t="n"/>
      <c r="J139" s="41" t="n"/>
      <c r="K139" s="52" t="n"/>
      <c r="L139" s="33" t="n"/>
      <c r="M139" s="52" t="n"/>
      <c r="N139" s="50">
        <f>IF(G139="","",G139-TODAY())</f>
        <v/>
      </c>
      <c r="O139" s="32" t="n"/>
      <c r="P139" s="40" t="n"/>
    </row>
    <row r="140">
      <c r="A140" s="34" t="n"/>
      <c r="B140" s="34" t="n"/>
      <c r="C140" s="34" t="n"/>
      <c r="D140" s="38" t="n"/>
      <c r="E140" s="34" t="n"/>
      <c r="F140" s="35" t="n"/>
      <c r="G140" s="35" t="n"/>
      <c r="H140" s="34" t="n"/>
      <c r="I140" s="51" t="n"/>
      <c r="J140" s="39" t="n"/>
      <c r="K140" s="51" t="n"/>
      <c r="L140" s="35" t="n"/>
      <c r="M140" s="51" t="n"/>
      <c r="N140" s="50">
        <f>IF(G140="","",G140-TODAY())</f>
        <v/>
      </c>
      <c r="O140" s="34" t="n"/>
      <c r="P140" s="38" t="n"/>
    </row>
    <row r="141">
      <c r="A141" s="32" t="n"/>
      <c r="B141" s="32" t="n"/>
      <c r="C141" s="32" t="n"/>
      <c r="D141" s="40" t="n"/>
      <c r="E141" s="32" t="n"/>
      <c r="F141" s="33" t="n"/>
      <c r="G141" s="33" t="n"/>
      <c r="H141" s="32" t="n"/>
      <c r="I141" s="52" t="n"/>
      <c r="J141" s="41" t="n"/>
      <c r="K141" s="52" t="n"/>
      <c r="L141" s="33" t="n"/>
      <c r="M141" s="52" t="n"/>
      <c r="N141" s="50">
        <f>IF(G141="","",G141-TODAY())</f>
        <v/>
      </c>
      <c r="O141" s="32" t="n"/>
      <c r="P141" s="40" t="n"/>
    </row>
    <row r="142">
      <c r="A142" s="34" t="n"/>
      <c r="B142" s="34" t="n"/>
      <c r="C142" s="34" t="n"/>
      <c r="D142" s="38" t="n"/>
      <c r="E142" s="34" t="n"/>
      <c r="F142" s="35" t="n"/>
      <c r="G142" s="35" t="n"/>
      <c r="H142" s="34" t="n"/>
      <c r="I142" s="51" t="n"/>
      <c r="J142" s="39" t="n"/>
      <c r="K142" s="51" t="n"/>
      <c r="L142" s="35" t="n"/>
      <c r="M142" s="51" t="n"/>
      <c r="N142" s="50">
        <f>IF(G142="","",G142-TODAY())</f>
        <v/>
      </c>
      <c r="O142" s="34" t="n"/>
      <c r="P142" s="38" t="n"/>
    </row>
    <row r="143">
      <c r="A143" s="32" t="n"/>
      <c r="B143" s="32" t="n"/>
      <c r="C143" s="32" t="n"/>
      <c r="D143" s="40" t="n"/>
      <c r="E143" s="32" t="n"/>
      <c r="F143" s="33" t="n"/>
      <c r="G143" s="33" t="n"/>
      <c r="H143" s="32" t="n"/>
      <c r="I143" s="52" t="n"/>
      <c r="J143" s="41" t="n"/>
      <c r="K143" s="52" t="n"/>
      <c r="L143" s="33" t="n"/>
      <c r="M143" s="52" t="n"/>
      <c r="N143" s="50">
        <f>IF(G143="","",G143-TODAY())</f>
        <v/>
      </c>
      <c r="O143" s="32" t="n"/>
      <c r="P143" s="40" t="n"/>
    </row>
    <row r="144">
      <c r="A144" s="34" t="n"/>
      <c r="B144" s="34" t="n"/>
      <c r="C144" s="34" t="n"/>
      <c r="D144" s="38" t="n"/>
      <c r="E144" s="34" t="n"/>
      <c r="F144" s="35" t="n"/>
      <c r="G144" s="35" t="n"/>
      <c r="H144" s="34" t="n"/>
      <c r="I144" s="51" t="n"/>
      <c r="J144" s="39" t="n"/>
      <c r="K144" s="51" t="n"/>
      <c r="L144" s="35" t="n"/>
      <c r="M144" s="51" t="n"/>
      <c r="N144" s="50">
        <f>IF(G144="","",G144-TODAY())</f>
        <v/>
      </c>
      <c r="O144" s="34" t="n"/>
      <c r="P144" s="38" t="n"/>
    </row>
    <row r="145">
      <c r="A145" s="32" t="n"/>
      <c r="B145" s="32" t="n"/>
      <c r="C145" s="32" t="n"/>
      <c r="D145" s="40" t="n"/>
      <c r="E145" s="32" t="n"/>
      <c r="F145" s="33" t="n"/>
      <c r="G145" s="33" t="n"/>
      <c r="H145" s="32" t="n"/>
      <c r="I145" s="52" t="n"/>
      <c r="J145" s="41" t="n"/>
      <c r="K145" s="52" t="n"/>
      <c r="L145" s="33" t="n"/>
      <c r="M145" s="52" t="n"/>
      <c r="N145" s="50">
        <f>IF(G145="","",G145-TODAY())</f>
        <v/>
      </c>
      <c r="O145" s="32" t="n"/>
      <c r="P145" s="40" t="n"/>
    </row>
    <row r="146">
      <c r="A146" s="34" t="n"/>
      <c r="B146" s="34" t="n"/>
      <c r="C146" s="34" t="n"/>
      <c r="D146" s="38" t="n"/>
      <c r="E146" s="34" t="n"/>
      <c r="F146" s="35" t="n"/>
      <c r="G146" s="35" t="n"/>
      <c r="H146" s="34" t="n"/>
      <c r="I146" s="51" t="n"/>
      <c r="J146" s="39" t="n"/>
      <c r="K146" s="51" t="n"/>
      <c r="L146" s="35" t="n"/>
      <c r="M146" s="51" t="n"/>
      <c r="N146" s="50">
        <f>IF(G146="","",G146-TODAY())</f>
        <v/>
      </c>
      <c r="O146" s="34" t="n"/>
      <c r="P146" s="38" t="n"/>
    </row>
    <row r="147">
      <c r="A147" s="32" t="n"/>
      <c r="B147" s="32" t="n"/>
      <c r="C147" s="32" t="n"/>
      <c r="D147" s="40" t="n"/>
      <c r="E147" s="32" t="n"/>
      <c r="F147" s="33" t="n"/>
      <c r="G147" s="33" t="n"/>
      <c r="H147" s="32" t="n"/>
      <c r="I147" s="52" t="n"/>
      <c r="J147" s="41" t="n"/>
      <c r="K147" s="52" t="n"/>
      <c r="L147" s="33" t="n"/>
      <c r="M147" s="52" t="n"/>
      <c r="N147" s="50">
        <f>IF(G147="","",G147-TODAY())</f>
        <v/>
      </c>
      <c r="O147" s="32" t="n"/>
      <c r="P147" s="40" t="n"/>
    </row>
    <row r="148">
      <c r="A148" s="34" t="n"/>
      <c r="B148" s="34" t="n"/>
      <c r="C148" s="34" t="n"/>
      <c r="D148" s="38" t="n"/>
      <c r="E148" s="34" t="n"/>
      <c r="F148" s="35" t="n"/>
      <c r="G148" s="35" t="n"/>
      <c r="H148" s="34" t="n"/>
      <c r="I148" s="51" t="n"/>
      <c r="J148" s="39" t="n"/>
      <c r="K148" s="51" t="n"/>
      <c r="L148" s="35" t="n"/>
      <c r="M148" s="51" t="n"/>
      <c r="N148" s="50">
        <f>IF(G148="","",G148-TODAY())</f>
        <v/>
      </c>
      <c r="O148" s="34" t="n"/>
      <c r="P148" s="38" t="n"/>
    </row>
    <row r="149">
      <c r="A149" s="32" t="n"/>
      <c r="B149" s="32" t="n"/>
      <c r="C149" s="32" t="n"/>
      <c r="D149" s="40" t="n"/>
      <c r="E149" s="32" t="n"/>
      <c r="F149" s="33" t="n"/>
      <c r="G149" s="33" t="n"/>
      <c r="H149" s="32" t="n"/>
      <c r="I149" s="52" t="n"/>
      <c r="J149" s="41" t="n"/>
      <c r="K149" s="52" t="n"/>
      <c r="L149" s="33" t="n"/>
      <c r="M149" s="52" t="n"/>
      <c r="N149" s="50">
        <f>IF(G149="","",G149-TODAY())</f>
        <v/>
      </c>
      <c r="O149" s="32" t="n"/>
      <c r="P149" s="40" t="n"/>
    </row>
    <row r="150">
      <c r="A150" s="34" t="n"/>
      <c r="B150" s="34" t="n"/>
      <c r="C150" s="34" t="n"/>
      <c r="D150" s="38" t="n"/>
      <c r="E150" s="34" t="n"/>
      <c r="F150" s="35" t="n"/>
      <c r="G150" s="35" t="n"/>
      <c r="H150" s="34" t="n"/>
      <c r="I150" s="51" t="n"/>
      <c r="J150" s="39" t="n"/>
      <c r="K150" s="51" t="n"/>
      <c r="L150" s="35" t="n"/>
      <c r="M150" s="51" t="n"/>
      <c r="N150" s="50">
        <f>IF(G150="","",G150-TODAY())</f>
        <v/>
      </c>
      <c r="O150" s="34" t="n"/>
      <c r="P150" s="38" t="n"/>
    </row>
    <row r="151">
      <c r="A151" s="32" t="n"/>
      <c r="B151" s="32" t="n"/>
      <c r="C151" s="32" t="n"/>
      <c r="D151" s="40" t="n"/>
      <c r="E151" s="32" t="n"/>
      <c r="F151" s="33" t="n"/>
      <c r="G151" s="33" t="n"/>
      <c r="H151" s="32" t="n"/>
      <c r="I151" s="52" t="n"/>
      <c r="J151" s="41" t="n"/>
      <c r="K151" s="52" t="n"/>
      <c r="L151" s="33" t="n"/>
      <c r="M151" s="52" t="n"/>
      <c r="N151" s="50">
        <f>IF(G151="","",G151-TODAY())</f>
        <v/>
      </c>
      <c r="O151" s="32" t="n"/>
      <c r="P151" s="40" t="n"/>
    </row>
    <row r="152">
      <c r="A152" s="34" t="n"/>
      <c r="B152" s="34" t="n"/>
      <c r="C152" s="34" t="n"/>
      <c r="D152" s="38" t="n"/>
      <c r="E152" s="34" t="n"/>
      <c r="F152" s="35" t="n"/>
      <c r="G152" s="35" t="n"/>
      <c r="H152" s="34" t="n"/>
      <c r="I152" s="51" t="n"/>
      <c r="J152" s="39" t="n"/>
      <c r="K152" s="51" t="n"/>
      <c r="L152" s="35" t="n"/>
      <c r="M152" s="51" t="n"/>
      <c r="N152" s="50">
        <f>IF(G152="","",G152-TODAY())</f>
        <v/>
      </c>
      <c r="O152" s="34" t="n"/>
      <c r="P152" s="38" t="n"/>
    </row>
    <row r="153">
      <c r="A153" s="32" t="n"/>
      <c r="B153" s="32" t="n"/>
      <c r="C153" s="32" t="n"/>
      <c r="D153" s="40" t="n"/>
      <c r="E153" s="32" t="n"/>
      <c r="F153" s="33" t="n"/>
      <c r="G153" s="33" t="n"/>
      <c r="H153" s="32" t="n"/>
      <c r="I153" s="52" t="n"/>
      <c r="J153" s="41" t="n"/>
      <c r="K153" s="52" t="n"/>
      <c r="L153" s="33" t="n"/>
      <c r="M153" s="52" t="n"/>
      <c r="N153" s="50">
        <f>IF(G153="","",G153-TODAY())</f>
        <v/>
      </c>
      <c r="O153" s="32" t="n"/>
      <c r="P153" s="40" t="n"/>
    </row>
    <row r="154">
      <c r="A154" s="34" t="n"/>
      <c r="B154" s="34" t="n"/>
      <c r="C154" s="34" t="n"/>
      <c r="D154" s="38" t="n"/>
      <c r="E154" s="34" t="n"/>
      <c r="F154" s="35" t="n"/>
      <c r="G154" s="35" t="n"/>
      <c r="H154" s="34" t="n"/>
      <c r="I154" s="51" t="n"/>
      <c r="J154" s="39" t="n"/>
      <c r="K154" s="51" t="n"/>
      <c r="L154" s="35" t="n"/>
      <c r="M154" s="51" t="n"/>
      <c r="N154" s="50">
        <f>IF(G154="","",G154-TODAY())</f>
        <v/>
      </c>
      <c r="O154" s="34" t="n"/>
      <c r="P154" s="38" t="n"/>
    </row>
    <row r="155">
      <c r="A155" s="32" t="n"/>
      <c r="B155" s="32" t="n"/>
      <c r="C155" s="32" t="n"/>
      <c r="D155" s="40" t="n"/>
      <c r="E155" s="32" t="n"/>
      <c r="F155" s="33" t="n"/>
      <c r="G155" s="33" t="n"/>
      <c r="H155" s="32" t="n"/>
      <c r="I155" s="52" t="n"/>
      <c r="J155" s="41" t="n"/>
      <c r="K155" s="52" t="n"/>
      <c r="L155" s="33" t="n"/>
      <c r="M155" s="52" t="n"/>
      <c r="N155" s="50">
        <f>IF(G155="","",G155-TODAY())</f>
        <v/>
      </c>
      <c r="O155" s="32" t="n"/>
      <c r="P155" s="40" t="n"/>
    </row>
    <row r="156">
      <c r="A156" s="34" t="n"/>
      <c r="B156" s="34" t="n"/>
      <c r="C156" s="34" t="n"/>
      <c r="D156" s="38" t="n"/>
      <c r="E156" s="34" t="n"/>
      <c r="F156" s="35" t="n"/>
      <c r="G156" s="35" t="n"/>
      <c r="H156" s="34" t="n"/>
      <c r="I156" s="51" t="n"/>
      <c r="J156" s="39" t="n"/>
      <c r="K156" s="51" t="n"/>
      <c r="L156" s="35" t="n"/>
      <c r="M156" s="51" t="n"/>
      <c r="N156" s="50">
        <f>IF(G156="","",G156-TODAY())</f>
        <v/>
      </c>
      <c r="O156" s="34" t="n"/>
      <c r="P156" s="38" t="n"/>
    </row>
    <row r="157">
      <c r="A157" s="32" t="n"/>
      <c r="B157" s="32" t="n"/>
      <c r="C157" s="32" t="n"/>
      <c r="D157" s="40" t="n"/>
      <c r="E157" s="32" t="n"/>
      <c r="F157" s="33" t="n"/>
      <c r="G157" s="33" t="n"/>
      <c r="H157" s="32" t="n"/>
      <c r="I157" s="52" t="n"/>
      <c r="J157" s="41" t="n"/>
      <c r="K157" s="52" t="n"/>
      <c r="L157" s="33" t="n"/>
      <c r="M157" s="52" t="n"/>
      <c r="N157" s="50">
        <f>IF(G157="","",G157-TODAY())</f>
        <v/>
      </c>
      <c r="O157" s="32" t="n"/>
      <c r="P157" s="40" t="n"/>
    </row>
    <row r="158">
      <c r="A158" s="34" t="n"/>
      <c r="B158" s="34" t="n"/>
      <c r="C158" s="34" t="n"/>
      <c r="D158" s="38" t="n"/>
      <c r="E158" s="34" t="n"/>
      <c r="F158" s="35" t="n"/>
      <c r="G158" s="35" t="n"/>
      <c r="H158" s="34" t="n"/>
      <c r="I158" s="51" t="n"/>
      <c r="J158" s="39" t="n"/>
      <c r="K158" s="51" t="n"/>
      <c r="L158" s="35" t="n"/>
      <c r="M158" s="51" t="n"/>
      <c r="N158" s="50">
        <f>IF(G158="","",G158-TODAY())</f>
        <v/>
      </c>
      <c r="O158" s="34" t="n"/>
      <c r="P158" s="38" t="n"/>
    </row>
    <row r="159">
      <c r="A159" s="32" t="n"/>
      <c r="B159" s="32" t="n"/>
      <c r="C159" s="32" t="n"/>
      <c r="D159" s="40" t="n"/>
      <c r="E159" s="32" t="n"/>
      <c r="F159" s="33" t="n"/>
      <c r="G159" s="33" t="n"/>
      <c r="H159" s="32" t="n"/>
      <c r="I159" s="52" t="n"/>
      <c r="J159" s="41" t="n"/>
      <c r="K159" s="52" t="n"/>
      <c r="L159" s="33" t="n"/>
      <c r="M159" s="52" t="n"/>
      <c r="N159" s="50">
        <f>IF(G159="","",G159-TODAY())</f>
        <v/>
      </c>
      <c r="O159" s="32" t="n"/>
      <c r="P159" s="40" t="n"/>
    </row>
    <row r="160">
      <c r="A160" s="34" t="n"/>
      <c r="B160" s="34" t="n"/>
      <c r="C160" s="34" t="n"/>
      <c r="D160" s="38" t="n"/>
      <c r="E160" s="34" t="n"/>
      <c r="F160" s="35" t="n"/>
      <c r="G160" s="35" t="n"/>
      <c r="H160" s="34" t="n"/>
      <c r="I160" s="51" t="n"/>
      <c r="J160" s="39" t="n"/>
      <c r="K160" s="51" t="n"/>
      <c r="L160" s="35" t="n"/>
      <c r="M160" s="51" t="n"/>
      <c r="N160" s="50">
        <f>IF(G160="","",G160-TODAY())</f>
        <v/>
      </c>
      <c r="O160" s="34" t="n"/>
      <c r="P160" s="38" t="n"/>
    </row>
    <row r="161">
      <c r="A161" s="32" t="n"/>
      <c r="B161" s="32" t="n"/>
      <c r="C161" s="32" t="n"/>
      <c r="D161" s="40" t="n"/>
      <c r="E161" s="32" t="n"/>
      <c r="F161" s="33" t="n"/>
      <c r="G161" s="33" t="n"/>
      <c r="H161" s="32" t="n"/>
      <c r="I161" s="52" t="n"/>
      <c r="J161" s="41" t="n"/>
      <c r="K161" s="52" t="n"/>
      <c r="L161" s="33" t="n"/>
      <c r="M161" s="52" t="n"/>
      <c r="N161" s="50">
        <f>IF(G161="","",G161-TODAY())</f>
        <v/>
      </c>
      <c r="O161" s="32" t="n"/>
      <c r="P161" s="40" t="n"/>
    </row>
    <row r="162">
      <c r="A162" s="34" t="n"/>
      <c r="B162" s="34" t="n"/>
      <c r="C162" s="34" t="n"/>
      <c r="D162" s="38" t="n"/>
      <c r="E162" s="34" t="n"/>
      <c r="F162" s="35" t="n"/>
      <c r="G162" s="35" t="n"/>
      <c r="H162" s="34" t="n"/>
      <c r="I162" s="51" t="n"/>
      <c r="J162" s="39" t="n"/>
      <c r="K162" s="51" t="n"/>
      <c r="L162" s="35" t="n"/>
      <c r="M162" s="51" t="n"/>
      <c r="N162" s="50">
        <f>IF(G162="","",G162-TODAY())</f>
        <v/>
      </c>
      <c r="O162" s="34" t="n"/>
      <c r="P162" s="38" t="n"/>
    </row>
    <row r="163">
      <c r="A163" s="32" t="n"/>
      <c r="B163" s="32" t="n"/>
      <c r="C163" s="32" t="n"/>
      <c r="D163" s="40" t="n"/>
      <c r="E163" s="32" t="n"/>
      <c r="F163" s="33" t="n"/>
      <c r="G163" s="33" t="n"/>
      <c r="H163" s="32" t="n"/>
      <c r="I163" s="52" t="n"/>
      <c r="J163" s="41" t="n"/>
      <c r="K163" s="52" t="n"/>
      <c r="L163" s="33" t="n"/>
      <c r="M163" s="52" t="n"/>
      <c r="N163" s="50">
        <f>IF(G163="","",G163-TODAY())</f>
        <v/>
      </c>
      <c r="O163" s="32" t="n"/>
      <c r="P163" s="40" t="n"/>
    </row>
    <row r="164">
      <c r="A164" s="34" t="n"/>
      <c r="B164" s="34" t="n"/>
      <c r="C164" s="34" t="n"/>
      <c r="D164" s="38" t="n"/>
      <c r="E164" s="34" t="n"/>
      <c r="F164" s="35" t="n"/>
      <c r="G164" s="35" t="n"/>
      <c r="H164" s="34" t="n"/>
      <c r="I164" s="51" t="n"/>
      <c r="J164" s="39" t="n"/>
      <c r="K164" s="51" t="n"/>
      <c r="L164" s="35" t="n"/>
      <c r="M164" s="51" t="n"/>
      <c r="N164" s="50">
        <f>IF(G164="","",G164-TODAY())</f>
        <v/>
      </c>
      <c r="O164" s="34" t="n"/>
      <c r="P164" s="38" t="n"/>
    </row>
    <row r="165">
      <c r="A165" s="32" t="n"/>
      <c r="B165" s="32" t="n"/>
      <c r="C165" s="32" t="n"/>
      <c r="D165" s="40" t="n"/>
      <c r="E165" s="32" t="n"/>
      <c r="F165" s="33" t="n"/>
      <c r="G165" s="33" t="n"/>
      <c r="H165" s="32" t="n"/>
      <c r="I165" s="52" t="n"/>
      <c r="J165" s="41" t="n"/>
      <c r="K165" s="52" t="n"/>
      <c r="L165" s="33" t="n"/>
      <c r="M165" s="52" t="n"/>
      <c r="N165" s="50">
        <f>IF(G165="","",G165-TODAY())</f>
        <v/>
      </c>
      <c r="O165" s="32" t="n"/>
      <c r="P165" s="40" t="n"/>
    </row>
    <row r="166">
      <c r="A166" s="34" t="n"/>
      <c r="B166" s="34" t="n"/>
      <c r="C166" s="34" t="n"/>
      <c r="D166" s="38" t="n"/>
      <c r="E166" s="34" t="n"/>
      <c r="F166" s="35" t="n"/>
      <c r="G166" s="35" t="n"/>
      <c r="H166" s="34" t="n"/>
      <c r="I166" s="51" t="n"/>
      <c r="J166" s="39" t="n"/>
      <c r="K166" s="51" t="n"/>
      <c r="L166" s="35" t="n"/>
      <c r="M166" s="51" t="n"/>
      <c r="N166" s="50">
        <f>IF(G166="","",G166-TODAY())</f>
        <v/>
      </c>
      <c r="O166" s="34" t="n"/>
      <c r="P166" s="38" t="n"/>
    </row>
    <row r="167">
      <c r="A167" s="32" t="n"/>
      <c r="B167" s="32" t="n"/>
      <c r="C167" s="32" t="n"/>
      <c r="D167" s="40" t="n"/>
      <c r="E167" s="32" t="n"/>
      <c r="F167" s="33" t="n"/>
      <c r="G167" s="33" t="n"/>
      <c r="H167" s="32" t="n"/>
      <c r="I167" s="52" t="n"/>
      <c r="J167" s="41" t="n"/>
      <c r="K167" s="52" t="n"/>
      <c r="L167" s="33" t="n"/>
      <c r="M167" s="52" t="n"/>
      <c r="N167" s="50">
        <f>IF(G167="","",G167-TODAY())</f>
        <v/>
      </c>
      <c r="O167" s="32" t="n"/>
      <c r="P167" s="40" t="n"/>
    </row>
    <row r="168">
      <c r="A168" s="34" t="n"/>
      <c r="B168" s="34" t="n"/>
      <c r="C168" s="34" t="n"/>
      <c r="D168" s="38" t="n"/>
      <c r="E168" s="34" t="n"/>
      <c r="F168" s="35" t="n"/>
      <c r="G168" s="35" t="n"/>
      <c r="H168" s="34" t="n"/>
      <c r="I168" s="51" t="n"/>
      <c r="J168" s="39" t="n"/>
      <c r="K168" s="51" t="n"/>
      <c r="L168" s="35" t="n"/>
      <c r="M168" s="51" t="n"/>
      <c r="N168" s="50">
        <f>IF(G168="","",G168-TODAY())</f>
        <v/>
      </c>
      <c r="O168" s="34" t="n"/>
      <c r="P168" s="38" t="n"/>
    </row>
    <row r="169">
      <c r="A169" s="32" t="n"/>
      <c r="B169" s="32" t="n"/>
      <c r="C169" s="32" t="n"/>
      <c r="D169" s="40" t="n"/>
      <c r="E169" s="32" t="n"/>
      <c r="F169" s="33" t="n"/>
      <c r="G169" s="33" t="n"/>
      <c r="H169" s="32" t="n"/>
      <c r="I169" s="52" t="n"/>
      <c r="J169" s="41" t="n"/>
      <c r="K169" s="52" t="n"/>
      <c r="L169" s="33" t="n"/>
      <c r="M169" s="52" t="n"/>
      <c r="N169" s="50">
        <f>IF(G169="","",G169-TODAY())</f>
        <v/>
      </c>
      <c r="O169" s="32" t="n"/>
      <c r="P169" s="40" t="n"/>
    </row>
    <row r="170">
      <c r="A170" s="34" t="n"/>
      <c r="B170" s="34" t="n"/>
      <c r="C170" s="34" t="n"/>
      <c r="D170" s="38" t="n"/>
      <c r="E170" s="34" t="n"/>
      <c r="F170" s="35" t="n"/>
      <c r="G170" s="35" t="n"/>
      <c r="H170" s="34" t="n"/>
      <c r="I170" s="51" t="n"/>
      <c r="J170" s="39" t="n"/>
      <c r="K170" s="51" t="n"/>
      <c r="L170" s="35" t="n"/>
      <c r="M170" s="51" t="n"/>
      <c r="N170" s="50">
        <f>IF(G170="","",G170-TODAY())</f>
        <v/>
      </c>
      <c r="O170" s="34" t="n"/>
      <c r="P170" s="38" t="n"/>
    </row>
    <row r="171">
      <c r="A171" s="32" t="n"/>
      <c r="B171" s="32" t="n"/>
      <c r="C171" s="32" t="n"/>
      <c r="D171" s="40" t="n"/>
      <c r="E171" s="32" t="n"/>
      <c r="F171" s="33" t="n"/>
      <c r="G171" s="33" t="n"/>
      <c r="H171" s="32" t="n"/>
      <c r="I171" s="52" t="n"/>
      <c r="J171" s="41" t="n"/>
      <c r="K171" s="52" t="n"/>
      <c r="L171" s="33" t="n"/>
      <c r="M171" s="52" t="n"/>
      <c r="N171" s="50">
        <f>IF(G171="","",G171-TODAY())</f>
        <v/>
      </c>
      <c r="O171" s="32" t="n"/>
      <c r="P171" s="40" t="n"/>
    </row>
    <row r="172">
      <c r="A172" s="34" t="n"/>
      <c r="B172" s="34" t="n"/>
      <c r="C172" s="34" t="n"/>
      <c r="D172" s="38" t="n"/>
      <c r="E172" s="34" t="n"/>
      <c r="F172" s="35" t="n"/>
      <c r="G172" s="35" t="n"/>
      <c r="H172" s="34" t="n"/>
      <c r="I172" s="51" t="n"/>
      <c r="J172" s="39" t="n"/>
      <c r="K172" s="51" t="n"/>
      <c r="L172" s="35" t="n"/>
      <c r="M172" s="51" t="n"/>
      <c r="N172" s="50">
        <f>IF(G172="","",G172-TODAY())</f>
        <v/>
      </c>
      <c r="O172" s="34" t="n"/>
      <c r="P172" s="38" t="n"/>
    </row>
    <row r="173">
      <c r="A173" s="32" t="n"/>
      <c r="B173" s="32" t="n"/>
      <c r="C173" s="32" t="n"/>
      <c r="D173" s="40" t="n"/>
      <c r="E173" s="32" t="n"/>
      <c r="F173" s="33" t="n"/>
      <c r="G173" s="33" t="n"/>
      <c r="H173" s="32" t="n"/>
      <c r="I173" s="52" t="n"/>
      <c r="J173" s="41" t="n"/>
      <c r="K173" s="52" t="n"/>
      <c r="L173" s="33" t="n"/>
      <c r="M173" s="52" t="n"/>
      <c r="N173" s="50">
        <f>IF(G173="","",G173-TODAY())</f>
        <v/>
      </c>
      <c r="O173" s="32" t="n"/>
      <c r="P173" s="40" t="n"/>
    </row>
    <row r="174">
      <c r="A174" s="34" t="n"/>
      <c r="B174" s="34" t="n"/>
      <c r="C174" s="34" t="n"/>
      <c r="D174" s="38" t="n"/>
      <c r="E174" s="34" t="n"/>
      <c r="F174" s="35" t="n"/>
      <c r="G174" s="35" t="n"/>
      <c r="H174" s="34" t="n"/>
      <c r="I174" s="51" t="n"/>
      <c r="J174" s="39" t="n"/>
      <c r="K174" s="51" t="n"/>
      <c r="L174" s="35" t="n"/>
      <c r="M174" s="51" t="n"/>
      <c r="N174" s="50">
        <f>IF(G174="","",G174-TODAY())</f>
        <v/>
      </c>
      <c r="O174" s="34" t="n"/>
      <c r="P174" s="38" t="n"/>
    </row>
    <row r="175">
      <c r="A175" s="32" t="n"/>
      <c r="B175" s="32" t="n"/>
      <c r="C175" s="32" t="n"/>
      <c r="D175" s="40" t="n"/>
      <c r="E175" s="32" t="n"/>
      <c r="F175" s="33" t="n"/>
      <c r="G175" s="33" t="n"/>
      <c r="H175" s="32" t="n"/>
      <c r="I175" s="52" t="n"/>
      <c r="J175" s="41" t="n"/>
      <c r="K175" s="52" t="n"/>
      <c r="L175" s="33" t="n"/>
      <c r="M175" s="52" t="n"/>
      <c r="N175" s="50">
        <f>IF(G175="","",G175-TODAY())</f>
        <v/>
      </c>
      <c r="O175" s="32" t="n"/>
      <c r="P175" s="40" t="n"/>
    </row>
    <row r="176">
      <c r="A176" s="34" t="n"/>
      <c r="B176" s="34" t="n"/>
      <c r="C176" s="34" t="n"/>
      <c r="D176" s="38" t="n"/>
      <c r="E176" s="34" t="n"/>
      <c r="F176" s="35" t="n"/>
      <c r="G176" s="35" t="n"/>
      <c r="H176" s="34" t="n"/>
      <c r="I176" s="51" t="n"/>
      <c r="J176" s="39" t="n"/>
      <c r="K176" s="51" t="n"/>
      <c r="L176" s="35" t="n"/>
      <c r="M176" s="51" t="n"/>
      <c r="N176" s="50">
        <f>IF(G176="","",G176-TODAY())</f>
        <v/>
      </c>
      <c r="O176" s="34" t="n"/>
      <c r="P176" s="38" t="n"/>
    </row>
    <row r="177">
      <c r="A177" s="32" t="n"/>
      <c r="B177" s="32" t="n"/>
      <c r="C177" s="32" t="n"/>
      <c r="D177" s="40" t="n"/>
      <c r="E177" s="32" t="n"/>
      <c r="F177" s="33" t="n"/>
      <c r="G177" s="33" t="n"/>
      <c r="H177" s="32" t="n"/>
      <c r="I177" s="52" t="n"/>
      <c r="J177" s="41" t="n"/>
      <c r="K177" s="52" t="n"/>
      <c r="L177" s="33" t="n"/>
      <c r="M177" s="52" t="n"/>
      <c r="N177" s="50">
        <f>IF(G177="","",G177-TODAY())</f>
        <v/>
      </c>
      <c r="O177" s="32" t="n"/>
      <c r="P177" s="40" t="n"/>
    </row>
    <row r="178">
      <c r="A178" s="34" t="n"/>
      <c r="B178" s="34" t="n"/>
      <c r="C178" s="34" t="n"/>
      <c r="D178" s="38" t="n"/>
      <c r="E178" s="34" t="n"/>
      <c r="F178" s="35" t="n"/>
      <c r="G178" s="35" t="n"/>
      <c r="H178" s="34" t="n"/>
      <c r="I178" s="51" t="n"/>
      <c r="J178" s="39" t="n"/>
      <c r="K178" s="51" t="n"/>
      <c r="L178" s="35" t="n"/>
      <c r="M178" s="51" t="n"/>
      <c r="N178" s="50">
        <f>IF(G178="","",G178-TODAY())</f>
        <v/>
      </c>
      <c r="O178" s="34" t="n"/>
      <c r="P178" s="38" t="n"/>
    </row>
    <row r="179">
      <c r="A179" s="32" t="n"/>
      <c r="B179" s="32" t="n"/>
      <c r="C179" s="32" t="n"/>
      <c r="D179" s="40" t="n"/>
      <c r="E179" s="32" t="n"/>
      <c r="F179" s="33" t="n"/>
      <c r="G179" s="33" t="n"/>
      <c r="H179" s="32" t="n"/>
      <c r="I179" s="52" t="n"/>
      <c r="J179" s="41" t="n"/>
      <c r="K179" s="52" t="n"/>
      <c r="L179" s="33" t="n"/>
      <c r="M179" s="52" t="n"/>
      <c r="N179" s="50">
        <f>IF(G179="","",G179-TODAY())</f>
        <v/>
      </c>
      <c r="O179" s="32" t="n"/>
      <c r="P179" s="40" t="n"/>
    </row>
    <row r="180">
      <c r="A180" s="34" t="n"/>
      <c r="B180" s="34" t="n"/>
      <c r="C180" s="34" t="n"/>
      <c r="D180" s="38" t="n"/>
      <c r="E180" s="34" t="n"/>
      <c r="F180" s="35" t="n"/>
      <c r="G180" s="35" t="n"/>
      <c r="H180" s="34" t="n"/>
      <c r="I180" s="51" t="n"/>
      <c r="J180" s="39" t="n"/>
      <c r="K180" s="51" t="n"/>
      <c r="L180" s="35" t="n"/>
      <c r="M180" s="51" t="n"/>
      <c r="N180" s="50">
        <f>IF(G180="","",G180-TODAY())</f>
        <v/>
      </c>
      <c r="O180" s="34" t="n"/>
      <c r="P180" s="38" t="n"/>
    </row>
    <row r="181">
      <c r="A181" s="32" t="n"/>
      <c r="B181" s="32" t="n"/>
      <c r="C181" s="32" t="n"/>
      <c r="D181" s="40" t="n"/>
      <c r="E181" s="32" t="n"/>
      <c r="F181" s="33" t="n"/>
      <c r="G181" s="33" t="n"/>
      <c r="H181" s="32" t="n"/>
      <c r="I181" s="52" t="n"/>
      <c r="J181" s="41" t="n"/>
      <c r="K181" s="52" t="n"/>
      <c r="L181" s="33" t="n"/>
      <c r="M181" s="52" t="n"/>
      <c r="N181" s="50">
        <f>IF(G181="","",G181-TODAY())</f>
        <v/>
      </c>
      <c r="O181" s="32" t="n"/>
      <c r="P181" s="40" t="n"/>
    </row>
    <row r="182">
      <c r="A182" s="34" t="n"/>
      <c r="B182" s="34" t="n"/>
      <c r="C182" s="34" t="n"/>
      <c r="D182" s="38" t="n"/>
      <c r="E182" s="34" t="n"/>
      <c r="F182" s="35" t="n"/>
      <c r="G182" s="35" t="n"/>
      <c r="H182" s="34" t="n"/>
      <c r="I182" s="51" t="n"/>
      <c r="J182" s="39" t="n"/>
      <c r="K182" s="51" t="n"/>
      <c r="L182" s="35" t="n"/>
      <c r="M182" s="51" t="n"/>
      <c r="N182" s="50">
        <f>IF(G182="","",G182-TODAY())</f>
        <v/>
      </c>
      <c r="O182" s="34" t="n"/>
      <c r="P182" s="38" t="n"/>
    </row>
    <row r="183">
      <c r="A183" s="32" t="n"/>
      <c r="B183" s="32" t="n"/>
      <c r="C183" s="32" t="n"/>
      <c r="D183" s="40" t="n"/>
      <c r="E183" s="32" t="n"/>
      <c r="F183" s="33" t="n"/>
      <c r="G183" s="33" t="n"/>
      <c r="H183" s="32" t="n"/>
      <c r="I183" s="52" t="n"/>
      <c r="J183" s="41" t="n"/>
      <c r="K183" s="52" t="n"/>
      <c r="L183" s="33" t="n"/>
      <c r="M183" s="52" t="n"/>
      <c r="N183" s="50">
        <f>IF(G183="","",G183-TODAY())</f>
        <v/>
      </c>
      <c r="O183" s="32" t="n"/>
      <c r="P183" s="40" t="n"/>
    </row>
    <row r="184">
      <c r="A184" s="34" t="n"/>
      <c r="B184" s="34" t="n"/>
      <c r="C184" s="34" t="n"/>
      <c r="D184" s="38" t="n"/>
      <c r="E184" s="34" t="n"/>
      <c r="F184" s="35" t="n"/>
      <c r="G184" s="35" t="n"/>
      <c r="H184" s="34" t="n"/>
      <c r="I184" s="51" t="n"/>
      <c r="J184" s="39" t="n"/>
      <c r="K184" s="51" t="n"/>
      <c r="L184" s="35" t="n"/>
      <c r="M184" s="51" t="n"/>
      <c r="N184" s="50">
        <f>IF(G184="","",G184-TODAY())</f>
        <v/>
      </c>
      <c r="O184" s="34" t="n"/>
      <c r="P184" s="38" t="n"/>
    </row>
    <row r="185">
      <c r="A185" s="32" t="n"/>
      <c r="B185" s="32" t="n"/>
      <c r="C185" s="32" t="n"/>
      <c r="D185" s="40" t="n"/>
      <c r="E185" s="32" t="n"/>
      <c r="F185" s="33" t="n"/>
      <c r="G185" s="33" t="n"/>
      <c r="H185" s="32" t="n"/>
      <c r="I185" s="52" t="n"/>
      <c r="J185" s="41" t="n"/>
      <c r="K185" s="52" t="n"/>
      <c r="L185" s="33" t="n"/>
      <c r="M185" s="52" t="n"/>
      <c r="N185" s="50">
        <f>IF(G185="","",G185-TODAY())</f>
        <v/>
      </c>
      <c r="O185" s="32" t="n"/>
      <c r="P185" s="40" t="n"/>
    </row>
    <row r="186">
      <c r="A186" s="34" t="n"/>
      <c r="B186" s="34" t="n"/>
      <c r="C186" s="34" t="n"/>
      <c r="D186" s="38" t="n"/>
      <c r="E186" s="34" t="n"/>
      <c r="F186" s="35" t="n"/>
      <c r="G186" s="35" t="n"/>
      <c r="H186" s="34" t="n"/>
      <c r="I186" s="51" t="n"/>
      <c r="J186" s="39" t="n"/>
      <c r="K186" s="51" t="n"/>
      <c r="L186" s="35" t="n"/>
      <c r="M186" s="51" t="n"/>
      <c r="N186" s="50">
        <f>IF(G186="","",G186-TODAY())</f>
        <v/>
      </c>
      <c r="O186" s="34" t="n"/>
      <c r="P186" s="38" t="n"/>
    </row>
    <row r="187">
      <c r="A187" s="32" t="n"/>
      <c r="B187" s="32" t="n"/>
      <c r="C187" s="32" t="n"/>
      <c r="D187" s="40" t="n"/>
      <c r="E187" s="32" t="n"/>
      <c r="F187" s="33" t="n"/>
      <c r="G187" s="33" t="n"/>
      <c r="H187" s="32" t="n"/>
      <c r="I187" s="52" t="n"/>
      <c r="J187" s="41" t="n"/>
      <c r="K187" s="52" t="n"/>
      <c r="L187" s="33" t="n"/>
      <c r="M187" s="52" t="n"/>
      <c r="N187" s="50">
        <f>IF(G187="","",G187-TODAY())</f>
        <v/>
      </c>
      <c r="O187" s="32" t="n"/>
      <c r="P187" s="40" t="n"/>
    </row>
    <row r="188">
      <c r="A188" s="34" t="n"/>
      <c r="B188" s="34" t="n"/>
      <c r="C188" s="34" t="n"/>
      <c r="D188" s="38" t="n"/>
      <c r="E188" s="34" t="n"/>
      <c r="F188" s="35" t="n"/>
      <c r="G188" s="35" t="n"/>
      <c r="H188" s="34" t="n"/>
      <c r="I188" s="51" t="n"/>
      <c r="J188" s="39" t="n"/>
      <c r="K188" s="51" t="n"/>
      <c r="L188" s="35" t="n"/>
      <c r="M188" s="51" t="n"/>
      <c r="N188" s="50">
        <f>IF(G188="","",G188-TODAY())</f>
        <v/>
      </c>
      <c r="O188" s="34" t="n"/>
      <c r="P188" s="38" t="n"/>
    </row>
    <row r="189">
      <c r="A189" s="32" t="n"/>
      <c r="B189" s="32" t="n"/>
      <c r="C189" s="32" t="n"/>
      <c r="D189" s="40" t="n"/>
      <c r="E189" s="32" t="n"/>
      <c r="F189" s="33" t="n"/>
      <c r="G189" s="33" t="n"/>
      <c r="H189" s="32" t="n"/>
      <c r="I189" s="52" t="n"/>
      <c r="J189" s="41" t="n"/>
      <c r="K189" s="52" t="n"/>
      <c r="L189" s="33" t="n"/>
      <c r="M189" s="52" t="n"/>
      <c r="N189" s="50">
        <f>IF(G189="","",G189-TODAY())</f>
        <v/>
      </c>
      <c r="O189" s="32" t="n"/>
      <c r="P189" s="40" t="n"/>
    </row>
    <row r="190">
      <c r="A190" s="34" t="n"/>
      <c r="B190" s="34" t="n"/>
      <c r="C190" s="34" t="n"/>
      <c r="D190" s="38" t="n"/>
      <c r="E190" s="34" t="n"/>
      <c r="F190" s="35" t="n"/>
      <c r="G190" s="35" t="n"/>
      <c r="H190" s="34" t="n"/>
      <c r="I190" s="51" t="n"/>
      <c r="J190" s="39" t="n"/>
      <c r="K190" s="51" t="n"/>
      <c r="L190" s="35" t="n"/>
      <c r="M190" s="51" t="n"/>
      <c r="N190" s="50">
        <f>IF(G190="","",G190-TODAY())</f>
        <v/>
      </c>
      <c r="O190" s="34" t="n"/>
      <c r="P190" s="38" t="n"/>
    </row>
    <row r="191">
      <c r="A191" s="32" t="n"/>
      <c r="B191" s="32" t="n"/>
      <c r="C191" s="32" t="n"/>
      <c r="D191" s="40" t="n"/>
      <c r="E191" s="32" t="n"/>
      <c r="F191" s="33" t="n"/>
      <c r="G191" s="33" t="n"/>
      <c r="H191" s="32" t="n"/>
      <c r="I191" s="52" t="n"/>
      <c r="J191" s="41" t="n"/>
      <c r="K191" s="52" t="n"/>
      <c r="L191" s="33" t="n"/>
      <c r="M191" s="52" t="n"/>
      <c r="N191" s="50">
        <f>IF(G191="","",G191-TODAY())</f>
        <v/>
      </c>
      <c r="O191" s="32" t="n"/>
      <c r="P191" s="40" t="n"/>
    </row>
    <row r="192">
      <c r="A192" s="34" t="n"/>
      <c r="B192" s="34" t="n"/>
      <c r="C192" s="34" t="n"/>
      <c r="D192" s="38" t="n"/>
      <c r="E192" s="34" t="n"/>
      <c r="F192" s="35" t="n"/>
      <c r="G192" s="35" t="n"/>
      <c r="H192" s="34" t="n"/>
      <c r="I192" s="51" t="n"/>
      <c r="J192" s="39" t="n"/>
      <c r="K192" s="51" t="n"/>
      <c r="L192" s="35" t="n"/>
      <c r="M192" s="51" t="n"/>
      <c r="N192" s="50">
        <f>IF(G192="","",G192-TODAY())</f>
        <v/>
      </c>
      <c r="O192" s="34" t="n"/>
      <c r="P192" s="38" t="n"/>
    </row>
    <row r="193">
      <c r="A193" s="32" t="n"/>
      <c r="B193" s="32" t="n"/>
      <c r="C193" s="32" t="n"/>
      <c r="D193" s="40" t="n"/>
      <c r="E193" s="32" t="n"/>
      <c r="F193" s="33" t="n"/>
      <c r="G193" s="33" t="n"/>
      <c r="H193" s="32" t="n"/>
      <c r="I193" s="52" t="n"/>
      <c r="J193" s="41" t="n"/>
      <c r="K193" s="52" t="n"/>
      <c r="L193" s="33" t="n"/>
      <c r="M193" s="52" t="n"/>
      <c r="N193" s="50">
        <f>IF(G193="","",G193-TODAY())</f>
        <v/>
      </c>
      <c r="O193" s="32" t="n"/>
      <c r="P193" s="40" t="n"/>
    </row>
    <row r="194">
      <c r="A194" s="34" t="n"/>
      <c r="B194" s="34" t="n"/>
      <c r="C194" s="34" t="n"/>
      <c r="D194" s="38" t="n"/>
      <c r="E194" s="34" t="n"/>
      <c r="F194" s="35" t="n"/>
      <c r="G194" s="35" t="n"/>
      <c r="H194" s="34" t="n"/>
      <c r="I194" s="51" t="n"/>
      <c r="J194" s="39" t="n"/>
      <c r="K194" s="51" t="n"/>
      <c r="L194" s="35" t="n"/>
      <c r="M194" s="51" t="n"/>
      <c r="N194" s="50">
        <f>IF(G194="","",G194-TODAY())</f>
        <v/>
      </c>
      <c r="O194" s="34" t="n"/>
      <c r="P194" s="38" t="n"/>
    </row>
    <row r="195">
      <c r="A195" s="32" t="n"/>
      <c r="B195" s="32" t="n"/>
      <c r="C195" s="32" t="n"/>
      <c r="D195" s="40" t="n"/>
      <c r="E195" s="32" t="n"/>
      <c r="F195" s="33" t="n"/>
      <c r="G195" s="33" t="n"/>
      <c r="H195" s="32" t="n"/>
      <c r="I195" s="52" t="n"/>
      <c r="J195" s="41" t="n"/>
      <c r="K195" s="52" t="n"/>
      <c r="L195" s="33" t="n"/>
      <c r="M195" s="52" t="n"/>
      <c r="N195" s="50">
        <f>IF(G195="","",G195-TODAY())</f>
        <v/>
      </c>
      <c r="O195" s="32" t="n"/>
      <c r="P195" s="40" t="n"/>
    </row>
    <row r="196">
      <c r="A196" s="34" t="n"/>
      <c r="B196" s="34" t="n"/>
      <c r="C196" s="34" t="n"/>
      <c r="D196" s="38" t="n"/>
      <c r="E196" s="34" t="n"/>
      <c r="F196" s="35" t="n"/>
      <c r="G196" s="35" t="n"/>
      <c r="H196" s="34" t="n"/>
      <c r="I196" s="51" t="n"/>
      <c r="J196" s="39" t="n"/>
      <c r="K196" s="51" t="n"/>
      <c r="L196" s="35" t="n"/>
      <c r="M196" s="51" t="n"/>
      <c r="N196" s="50">
        <f>IF(G196="","",G196-TODAY())</f>
        <v/>
      </c>
      <c r="O196" s="34" t="n"/>
      <c r="P196" s="38" t="n"/>
    </row>
    <row r="197">
      <c r="A197" s="32" t="n"/>
      <c r="B197" s="32" t="n"/>
      <c r="C197" s="32" t="n"/>
      <c r="D197" s="40" t="n"/>
      <c r="E197" s="32" t="n"/>
      <c r="F197" s="33" t="n"/>
      <c r="G197" s="33" t="n"/>
      <c r="H197" s="32" t="n"/>
      <c r="I197" s="52" t="n"/>
      <c r="J197" s="41" t="n"/>
      <c r="K197" s="52" t="n"/>
      <c r="L197" s="33" t="n"/>
      <c r="M197" s="52" t="n"/>
      <c r="N197" s="50">
        <f>IF(G197="","",G197-TODAY())</f>
        <v/>
      </c>
      <c r="O197" s="32" t="n"/>
      <c r="P197" s="40" t="n"/>
    </row>
    <row r="198">
      <c r="A198" s="34" t="n"/>
      <c r="B198" s="34" t="n"/>
      <c r="C198" s="34" t="n"/>
      <c r="D198" s="38" t="n"/>
      <c r="E198" s="34" t="n"/>
      <c r="F198" s="35" t="n"/>
      <c r="G198" s="35" t="n"/>
      <c r="H198" s="34" t="n"/>
      <c r="I198" s="51" t="n"/>
      <c r="J198" s="39" t="n"/>
      <c r="K198" s="51" t="n"/>
      <c r="L198" s="35" t="n"/>
      <c r="M198" s="51" t="n"/>
      <c r="N198" s="50">
        <f>IF(G198="","",G198-TODAY())</f>
        <v/>
      </c>
      <c r="O198" s="34" t="n"/>
      <c r="P198" s="38" t="n"/>
    </row>
    <row r="199">
      <c r="A199" s="32" t="n"/>
      <c r="B199" s="32" t="n"/>
      <c r="C199" s="32" t="n"/>
      <c r="D199" s="40" t="n"/>
      <c r="E199" s="32" t="n"/>
      <c r="F199" s="33" t="n"/>
      <c r="G199" s="33" t="n"/>
      <c r="H199" s="32" t="n"/>
      <c r="I199" s="52" t="n"/>
      <c r="J199" s="41" t="n"/>
      <c r="K199" s="52" t="n"/>
      <c r="L199" s="33" t="n"/>
      <c r="M199" s="52" t="n"/>
      <c r="N199" s="50">
        <f>IF(G199="","",G199-TODAY())</f>
        <v/>
      </c>
      <c r="O199" s="32" t="n"/>
      <c r="P199" s="40" t="n"/>
    </row>
    <row r="200">
      <c r="A200" s="34" t="n"/>
      <c r="B200" s="34" t="n"/>
      <c r="C200" s="34" t="n"/>
      <c r="D200" s="38" t="n"/>
      <c r="E200" s="34" t="n"/>
      <c r="F200" s="35" t="n"/>
      <c r="G200" s="35" t="n"/>
      <c r="H200" s="34" t="n"/>
      <c r="I200" s="51" t="n"/>
      <c r="J200" s="39" t="n"/>
      <c r="K200" s="51" t="n"/>
      <c r="L200" s="35" t="n"/>
      <c r="M200" s="51" t="n"/>
      <c r="N200" s="50">
        <f>IF(G200="","",G200-TODAY())</f>
        <v/>
      </c>
      <c r="O200" s="34" t="n"/>
      <c r="P200" s="38" t="n"/>
    </row>
  </sheetData>
  <autoFilter ref="A3:P200"/>
  <mergeCells count="2">
    <mergeCell ref="A1:P1"/>
    <mergeCell ref="A2:P2"/>
  </mergeCells>
  <conditionalFormatting sqref="G4:G200">
    <cfRule type="cellIs" priority="1" operator="lessThan" dxfId="3">
      <formula>TODAY()</formula>
    </cfRule>
    <cfRule type="cellIs" priority="2" operator="between" dxfId="4">
      <formula>TODAY()</formula>
      <formula>TODAY()+60</formula>
    </cfRule>
  </conditionalFormatting>
  <conditionalFormatting sqref="L4:L200">
    <cfRule type="cellIs" priority="3" operator="lessThan" dxfId="3">
      <formula>TODAY()</formula>
    </cfRule>
    <cfRule type="cellIs" priority="4" operator="between" dxfId="4">
      <formula>TODAY()</formula>
      <formula>TODAY()+60</formula>
    </cfRule>
  </conditionalFormatting>
  <conditionalFormatting sqref="N4:N200">
    <cfRule type="cellIs" priority="5" operator="lessThan" dxfId="3">
      <formula>0</formula>
    </cfRule>
    <cfRule type="cellIs" priority="6" operator="between" dxfId="4">
      <formula>0</formula>
      <formula>60</formula>
    </cfRule>
  </conditionalFormatting>
  <dataValidations count="4">
    <dataValidation sqref="A4:A200" showDropDown="0" showInputMessage="0" showErrorMessage="0" allowBlank="1" type="list">
      <formula1>=F_Kennz</formula1>
    </dataValidation>
    <dataValidation sqref="B4:B200" showDropDown="0" showInputMessage="0" showErrorMessage="0" allowBlank="1" type="list">
      <formula1>=L_Typ</formula1>
    </dataValidation>
    <dataValidation sqref="C4:C200" showDropDown="0" showInputMessage="0" showErrorMessage="0" allowBlank="1" type="list">
      <formula1>=L_Vertrag</formula1>
    </dataValidation>
    <dataValidation sqref="O4:O200" showDropDown="0" showInputMessage="0" showErrorMessage="0" allowBlank="1" type="list">
      <formula1>=L_Status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06100"/>
    <outlinePr summaryBelow="1" summaryRight="1"/>
    <pageSetUpPr/>
  </sheetPr>
  <dimension ref="A1:J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6" customWidth="1" min="3" max="3"/>
    <col width="16" customWidth="1" min="4" max="4"/>
    <col width="3" customWidth="1" min="5" max="5"/>
    <col width="22" customWidth="1" min="6" max="6"/>
    <col width="16" customWidth="1" min="7" max="7"/>
    <col width="3" customWidth="1" min="8" max="8"/>
    <col width="18" customWidth="1" min="9" max="9"/>
    <col width="16" customWidth="1" min="10" max="10"/>
  </cols>
  <sheetData>
    <row r="1" ht="36" customHeight="1">
      <c r="A1" s="36" t="inlineStr">
        <is>
          <t>KOSTENÜBERSICHT &amp; AUSWERTUNG</t>
        </is>
      </c>
    </row>
    <row r="2" ht="18" customHeight="1">
      <c r="A2" s="2" t="inlineStr">
        <is>
          <t>Speist sich automatisch aus Wartungshistorie, Tankkosten &amp; Verträgen.</t>
        </is>
      </c>
    </row>
    <row r="3" ht="26" customHeight="1">
      <c r="B3" s="60" t="inlineStr">
        <is>
          <t>Kosten je Fahrzeug</t>
        </is>
      </c>
      <c r="C3" s="60" t="n"/>
      <c r="D3" s="60" t="n"/>
      <c r="F3" s="60" t="inlineStr">
        <is>
          <t>Kosten je Kategorie</t>
        </is>
      </c>
      <c r="G3" s="60" t="n"/>
      <c r="I3" s="60" t="inlineStr">
        <is>
          <t>Kennzahlen</t>
        </is>
      </c>
      <c r="J3" s="60" t="n"/>
    </row>
    <row r="4" ht="26" customHeight="1">
      <c r="B4" s="31" t="inlineStr">
        <is>
          <t>Kennzeichen</t>
        </is>
      </c>
      <c r="C4" s="31" t="inlineStr">
        <is>
          <t>Wartung (€)</t>
        </is>
      </c>
      <c r="D4" s="31" t="inlineStr">
        <is>
          <t>Tank (€)</t>
        </is>
      </c>
      <c r="F4" s="31" t="inlineStr">
        <is>
          <t>Kategorie</t>
        </is>
      </c>
      <c r="G4" s="31" t="inlineStr">
        <is>
          <t>Summe (€)</t>
        </is>
      </c>
    </row>
    <row r="5">
      <c r="B5" s="40" t="inlineStr">
        <is>
          <t>B-AH 1001</t>
        </is>
      </c>
      <c r="C5" s="52">
        <f>SUMIF(H_Kennz,B5,H_Kosten)</f>
        <v/>
      </c>
      <c r="D5" s="52">
        <f>SUMIF(T_Kennz,B5,T_Gesamt)</f>
        <v/>
      </c>
      <c r="F5" s="40" t="inlineStr">
        <is>
          <t>Wartung</t>
        </is>
      </c>
      <c r="G5" s="52">
        <f>SUMIF(H_Kat,F5,H_Kosten)</f>
        <v/>
      </c>
      <c r="I5" s="40" t="inlineStr">
        <is>
          <t>Fahrzeuge gesamt</t>
        </is>
      </c>
      <c r="J5" s="32">
        <f>COUNTA(F_Kennz)-COUNTBLANK(F_Kennz)</f>
        <v/>
      </c>
    </row>
    <row r="6">
      <c r="B6" s="61" t="inlineStr">
        <is>
          <t>B-AH 1002</t>
        </is>
      </c>
      <c r="C6" s="55">
        <f>SUMIF(H_Kennz,B6,H_Kosten)</f>
        <v/>
      </c>
      <c r="D6" s="55">
        <f>SUMIF(T_Kennz,B6,T_Gesamt)</f>
        <v/>
      </c>
      <c r="F6" s="61" t="inlineStr">
        <is>
          <t>Reparatur</t>
        </is>
      </c>
      <c r="G6" s="55">
        <f>SUMIF(H_Kat,F6,H_Kosten)</f>
        <v/>
      </c>
      <c r="I6" s="61" t="inlineStr">
        <is>
          <t>Wartungskosten (€)</t>
        </is>
      </c>
      <c r="J6" s="55">
        <f>SUM(H_Kosten)</f>
        <v/>
      </c>
    </row>
    <row r="7">
      <c r="B7" s="40" t="inlineStr">
        <is>
          <t>B-AH 2050</t>
        </is>
      </c>
      <c r="C7" s="52">
        <f>SUMIF(H_Kennz,B7,H_Kosten)</f>
        <v/>
      </c>
      <c r="D7" s="52">
        <f>SUMIF(T_Kennz,B7,T_Gesamt)</f>
        <v/>
      </c>
      <c r="F7" s="40" t="inlineStr">
        <is>
          <t>Reifen</t>
        </is>
      </c>
      <c r="G7" s="52">
        <f>SUMIF(H_Kat,F7,H_Kosten)</f>
        <v/>
      </c>
      <c r="I7" s="40" t="inlineStr">
        <is>
          <t>Tankkosten (€)</t>
        </is>
      </c>
      <c r="J7" s="52">
        <f>SUM(T_Gesamt)</f>
        <v/>
      </c>
    </row>
    <row r="8">
      <c r="B8" s="61" t="inlineStr">
        <is>
          <t>B-AH 2051</t>
        </is>
      </c>
      <c r="C8" s="55">
        <f>SUMIF(H_Kennz,B8,H_Kosten)</f>
        <v/>
      </c>
      <c r="D8" s="55">
        <f>SUMIF(T_Kennz,B8,T_Gesamt)</f>
        <v/>
      </c>
      <c r="F8" s="61" t="inlineStr">
        <is>
          <t>TÜV/HU</t>
        </is>
      </c>
      <c r="G8" s="55">
        <f>SUMIF(H_Kat,F8,H_Kosten)</f>
        <v/>
      </c>
      <c r="I8" s="61" t="inlineStr">
        <is>
          <t>Kfz-Steuer p.a. (€)</t>
        </is>
      </c>
      <c r="J8" s="55">
        <f>SUM(V_Steuer)</f>
        <v/>
      </c>
    </row>
    <row r="9">
      <c r="B9" s="40" t="inlineStr">
        <is>
          <t>B-AH 7800</t>
        </is>
      </c>
      <c r="C9" s="52">
        <f>SUMIF(H_Kennz,B9,H_Kosten)</f>
        <v/>
      </c>
      <c r="D9" s="52">
        <f>SUMIF(T_Kennz,B9,T_Gesamt)</f>
        <v/>
      </c>
      <c r="F9" s="40" t="inlineStr">
        <is>
          <t>Versicherung</t>
        </is>
      </c>
      <c r="G9" s="52">
        <f>SUMIF(H_Kat,F9,H_Kosten)</f>
        <v/>
      </c>
      <c r="I9" s="40" t="inlineStr">
        <is>
          <t>Leasingraten/Mon. (€)</t>
        </is>
      </c>
      <c r="J9" s="52">
        <f>SUM(V_Rate)</f>
        <v/>
      </c>
    </row>
    <row r="10">
      <c r="B10" s="61" t="inlineStr">
        <is>
          <t>B-AH 7801</t>
        </is>
      </c>
      <c r="C10" s="55">
        <f>SUMIF(H_Kennz,B10,H_Kosten)</f>
        <v/>
      </c>
      <c r="D10" s="55">
        <f>SUMIF(T_Kennz,B10,T_Gesamt)</f>
        <v/>
      </c>
      <c r="F10" s="61" t="inlineStr">
        <is>
          <t>Kraftstoff</t>
        </is>
      </c>
      <c r="G10" s="55">
        <f>SUMIF(H_Kat,F10,H_Kosten)</f>
        <v/>
      </c>
      <c r="I10" s="61" t="inlineStr">
        <is>
          <t>Ø Verbrauch (L/100km)</t>
        </is>
      </c>
      <c r="J10" s="56">
        <f>IFERROR(SUMPRODUCT(Tankkosten!$D$4:$D$600)/SUMPRODUCT(Tankkosten!$G$4:$G$600)*100,0)</f>
        <v/>
      </c>
    </row>
    <row r="11">
      <c r="B11" s="62" t="inlineStr">
        <is>
          <t>GESAMT</t>
        </is>
      </c>
      <c r="C11" s="63">
        <f>SUM(C5:C10)</f>
        <v/>
      </c>
      <c r="D11" s="63">
        <f>SUM(D5:D10)</f>
        <v/>
      </c>
      <c r="F11" s="40" t="inlineStr">
        <is>
          <t>Steuer</t>
        </is>
      </c>
      <c r="G11" s="52">
        <f>SUMIF(H_Kat,F11,H_Kosten)</f>
        <v/>
      </c>
      <c r="I11" s="40" t="inlineStr">
        <is>
          <t>Überfällige Wartungen</t>
        </is>
      </c>
      <c r="J11" s="32">
        <f>COUNTIF(Wartungsplan!$M$4:$M$300,"*🔴*")</f>
        <v/>
      </c>
    </row>
    <row r="12">
      <c r="F12" s="61" t="inlineStr">
        <is>
          <t>Sonstiges</t>
        </is>
      </c>
      <c r="G12" s="55">
        <f>SUMIF(H_Kat,F12,H_Kosten)</f>
        <v/>
      </c>
      <c r="I12" s="61" t="inlineStr">
        <is>
          <t>Verträge &lt; 60 Tage</t>
        </is>
      </c>
      <c r="J12" s="50">
        <f>COUNTIFS(V_Ende,"&gt;="&amp;TODAY(),V_Ende,"&lt;="&amp;TODAY()+60)</f>
        <v/>
      </c>
    </row>
  </sheetData>
  <mergeCells count="5">
    <mergeCell ref="F3:G3"/>
    <mergeCell ref="A1:J1"/>
    <mergeCell ref="B3:D3"/>
    <mergeCell ref="A2:J2"/>
    <mergeCell ref="I3:J3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7F7F7F"/>
    <outlinePr summaryBelow="1" summaryRight="1"/>
    <pageSetUpPr/>
  </sheetPr>
  <dimension ref="A1:E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22" customWidth="1" min="2" max="2"/>
    <col width="17" customWidth="1" min="3" max="3"/>
    <col width="16" customWidth="1" min="4" max="4"/>
    <col width="45" customWidth="1" min="5" max="5"/>
  </cols>
  <sheetData>
    <row r="1" ht="36" customHeight="1">
      <c r="A1" s="64" t="inlineStr">
        <is>
          <t>EMPFOHLENE WARTUNGSINTERVALLE</t>
        </is>
      </c>
    </row>
    <row r="2" ht="18" customHeight="1">
      <c r="A2" s="2" t="inlineStr">
        <is>
          <t>Richtwerte – Herstellerangaben haben Vorrang. Als Nachschlagewerk gedacht.</t>
        </is>
      </c>
    </row>
    <row r="3" ht="26" customHeight="1">
      <c r="A3" s="37" t="inlineStr">
        <is>
          <t>Fahrzeugtyp</t>
        </is>
      </c>
      <c r="B3" s="37" t="inlineStr">
        <is>
          <t>Wartungsart</t>
        </is>
      </c>
      <c r="C3" s="37" t="inlineStr">
        <is>
          <t>Intervall (Monate)</t>
        </is>
      </c>
      <c r="D3" s="37" t="inlineStr">
        <is>
          <t>Intervall (km)</t>
        </is>
      </c>
      <c r="E3" s="37" t="inlineStr">
        <is>
          <t>Hinweis</t>
        </is>
      </c>
    </row>
    <row r="4">
      <c r="A4" s="50" t="inlineStr">
        <is>
          <t>PKW</t>
        </is>
      </c>
      <c r="B4" s="50" t="inlineStr">
        <is>
          <t>Inspektion</t>
        </is>
      </c>
      <c r="C4" s="48" t="n">
        <v>12</v>
      </c>
      <c r="D4" s="48" t="n">
        <v>30000</v>
      </c>
      <c r="E4" s="61" t="inlineStr">
        <is>
          <t>Jährlich oder nach km – je nachdem was zuerst eintritt.</t>
        </is>
      </c>
    </row>
    <row r="5">
      <c r="A5" s="32" t="inlineStr">
        <is>
          <t>PKW</t>
        </is>
      </c>
      <c r="B5" s="32" t="inlineStr">
        <is>
          <t>Ölwechsel</t>
        </is>
      </c>
      <c r="C5" s="41" t="n">
        <v>12</v>
      </c>
      <c r="D5" s="41" t="n">
        <v>15000</v>
      </c>
      <c r="E5" s="40" t="inlineStr">
        <is>
          <t>Longlife-Öl bis 30.000 km möglich.</t>
        </is>
      </c>
    </row>
    <row r="6">
      <c r="A6" s="50" t="inlineStr">
        <is>
          <t>PKW</t>
        </is>
      </c>
      <c r="B6" s="50" t="inlineStr">
        <is>
          <t>HU/AU (TÜV)</t>
        </is>
      </c>
      <c r="C6" s="48" t="n">
        <v>24</v>
      </c>
      <c r="D6" s="48" t="n">
        <v>0</v>
      </c>
      <c r="E6" s="61" t="inlineStr">
        <is>
          <t>Neuwagen erst nach 36 Monaten, danach alle 24 Monate.</t>
        </is>
      </c>
    </row>
    <row r="7">
      <c r="A7" s="32" t="inlineStr">
        <is>
          <t>PKW</t>
        </is>
      </c>
      <c r="B7" s="32" t="inlineStr">
        <is>
          <t>Reifenwechsel</t>
        </is>
      </c>
      <c r="C7" s="41" t="n">
        <v>6</v>
      </c>
      <c r="D7" s="41" t="n">
        <v>0</v>
      </c>
      <c r="E7" s="40" t="inlineStr">
        <is>
          <t>Sommer/Winter – O-bis-O-Regel (Oktober bis Ostern).</t>
        </is>
      </c>
    </row>
    <row r="8">
      <c r="A8" s="50" t="inlineStr">
        <is>
          <t>PKW</t>
        </is>
      </c>
      <c r="B8" s="50" t="inlineStr">
        <is>
          <t>Bremsen</t>
        </is>
      </c>
      <c r="C8" s="48" t="n">
        <v>24</v>
      </c>
      <c r="D8" s="48" t="n">
        <v>40000</v>
      </c>
      <c r="E8" s="61" t="inlineStr">
        <is>
          <t>Beläge &amp; Scheiben prüfen; Bremsflüssigkeit alle 2 Jahre.</t>
        </is>
      </c>
    </row>
    <row r="9">
      <c r="A9" s="32" t="inlineStr">
        <is>
          <t>PKW</t>
        </is>
      </c>
      <c r="B9" s="32" t="inlineStr">
        <is>
          <t>Zahnriemen</t>
        </is>
      </c>
      <c r="C9" s="41" t="n">
        <v>0</v>
      </c>
      <c r="D9" s="41" t="n">
        <v>90000</v>
      </c>
      <c r="E9" s="40" t="inlineStr">
        <is>
          <t>Modellabhängig 60.000–120.000 km – Herstellerangabe!</t>
        </is>
      </c>
    </row>
    <row r="10">
      <c r="A10" s="50" t="inlineStr">
        <is>
          <t>PKW</t>
        </is>
      </c>
      <c r="B10" s="50" t="inlineStr">
        <is>
          <t>Klimaservice</t>
        </is>
      </c>
      <c r="C10" s="48" t="n">
        <v>24</v>
      </c>
      <c r="D10" s="48" t="n">
        <v>0</v>
      </c>
      <c r="E10" s="61" t="inlineStr">
        <is>
          <t>Kältemittel &amp; Filter, Desinfektion empfohlen.</t>
        </is>
      </c>
    </row>
    <row r="11">
      <c r="A11" s="32" t="inlineStr">
        <is>
          <t>Transporter</t>
        </is>
      </c>
      <c r="B11" s="32" t="inlineStr">
        <is>
          <t>Inspektion</t>
        </is>
      </c>
      <c r="C11" s="41" t="n">
        <v>12</v>
      </c>
      <c r="D11" s="41" t="n">
        <v>40000</v>
      </c>
      <c r="E11" s="40" t="inlineStr">
        <is>
          <t>Bei hoher Last häufiger.</t>
        </is>
      </c>
    </row>
    <row r="12">
      <c r="A12" s="50" t="inlineStr">
        <is>
          <t>Transporter</t>
        </is>
      </c>
      <c r="B12" s="50" t="inlineStr">
        <is>
          <t>Ölwechsel</t>
        </is>
      </c>
      <c r="C12" s="48" t="n">
        <v>12</v>
      </c>
      <c r="D12" s="48" t="n">
        <v>30000</v>
      </c>
      <c r="E12" s="61" t="inlineStr"/>
    </row>
    <row r="13">
      <c r="A13" s="32" t="inlineStr">
        <is>
          <t>Transporter</t>
        </is>
      </c>
      <c r="B13" s="32" t="inlineStr">
        <is>
          <t>HU/AU (TÜV)</t>
        </is>
      </c>
      <c r="C13" s="41" t="n">
        <v>12</v>
      </c>
      <c r="D13" s="41" t="n">
        <v>0</v>
      </c>
      <c r="E13" s="40" t="inlineStr">
        <is>
          <t>Nutzfahrzeuge meist jährlich.</t>
        </is>
      </c>
    </row>
    <row r="14">
      <c r="A14" s="50" t="inlineStr">
        <is>
          <t>Transporter</t>
        </is>
      </c>
      <c r="B14" s="50" t="inlineStr">
        <is>
          <t>Bremsen</t>
        </is>
      </c>
      <c r="C14" s="48" t="n">
        <v>12</v>
      </c>
      <c r="D14" s="48" t="n">
        <v>50000</v>
      </c>
      <c r="E14" s="61" t="inlineStr">
        <is>
          <t>Höherer Verschleiß durch Beladung.</t>
        </is>
      </c>
    </row>
    <row r="15">
      <c r="A15" s="32" t="inlineStr">
        <is>
          <t>Transporter</t>
        </is>
      </c>
      <c r="B15" s="32" t="inlineStr">
        <is>
          <t>Reifenwechsel</t>
        </is>
      </c>
      <c r="C15" s="41" t="n">
        <v>6</v>
      </c>
      <c r="D15" s="41" t="n">
        <v>0</v>
      </c>
      <c r="E15" s="40" t="inlineStr"/>
    </row>
    <row r="16">
      <c r="A16" s="50" t="inlineStr">
        <is>
          <t>LKW</t>
        </is>
      </c>
      <c r="B16" s="50" t="inlineStr">
        <is>
          <t>Inspektion</t>
        </is>
      </c>
      <c r="C16" s="48" t="n">
        <v>6</v>
      </c>
      <c r="D16" s="48" t="n">
        <v>60000</v>
      </c>
      <c r="E16" s="61" t="inlineStr">
        <is>
          <t>Je nach Einsatz &amp; Hersteller; oft km-getrieben.</t>
        </is>
      </c>
    </row>
    <row r="17">
      <c r="A17" s="32" t="inlineStr">
        <is>
          <t>LKW</t>
        </is>
      </c>
      <c r="B17" s="32" t="inlineStr">
        <is>
          <t>Ölwechsel</t>
        </is>
      </c>
      <c r="C17" s="41" t="n">
        <v>12</v>
      </c>
      <c r="D17" s="41" t="n">
        <v>80000</v>
      </c>
      <c r="E17" s="40" t="inlineStr">
        <is>
          <t>Long-Drain-Öle beachten.</t>
        </is>
      </c>
    </row>
    <row r="18">
      <c r="A18" s="50" t="inlineStr">
        <is>
          <t>LKW</t>
        </is>
      </c>
      <c r="B18" s="50" t="inlineStr">
        <is>
          <t>HU (TÜV)</t>
        </is>
      </c>
      <c r="C18" s="48" t="n">
        <v>12</v>
      </c>
      <c r="D18" s="48" t="n">
        <v>0</v>
      </c>
      <c r="E18" s="61" t="inlineStr">
        <is>
          <t>Jährliche Hauptuntersuchung.</t>
        </is>
      </c>
    </row>
    <row r="19">
      <c r="A19" s="32" t="inlineStr">
        <is>
          <t>LKW</t>
        </is>
      </c>
      <c r="B19" s="32" t="inlineStr">
        <is>
          <t>SP (Sicherheitsprüfung)</t>
        </is>
      </c>
      <c r="C19" s="41" t="n">
        <v>6</v>
      </c>
      <c r="D19" s="41" t="n">
        <v>0</v>
      </c>
      <c r="E19" s="40" t="inlineStr">
        <is>
          <t>Zusätzlich zur HU, alle 6 Monate (ab 7,5 t).</t>
        </is>
      </c>
    </row>
    <row r="20">
      <c r="A20" s="50" t="inlineStr">
        <is>
          <t>LKW</t>
        </is>
      </c>
      <c r="B20" s="50" t="inlineStr">
        <is>
          <t>Tachograph</t>
        </is>
      </c>
      <c r="C20" s="48" t="n">
        <v>24</v>
      </c>
      <c r="D20" s="48" t="n">
        <v>0</v>
      </c>
      <c r="E20" s="61" t="inlineStr">
        <is>
          <t>Prüfpflicht alle 2 Jahre (digitaler Tacho).</t>
        </is>
      </c>
    </row>
    <row r="21">
      <c r="A21" s="32" t="inlineStr">
        <is>
          <t>LKW</t>
        </is>
      </c>
      <c r="B21" s="32" t="inlineStr">
        <is>
          <t>Bremsen</t>
        </is>
      </c>
      <c r="C21" s="41" t="n">
        <v>6</v>
      </c>
      <c r="D21" s="41" t="n">
        <v>80000</v>
      </c>
      <c r="E21" s="40" t="inlineStr">
        <is>
          <t>Sicherheitskritisch – regelmäßig prüfen.</t>
        </is>
      </c>
    </row>
    <row r="22">
      <c r="A22" s="50" t="inlineStr">
        <is>
          <t>LKW</t>
        </is>
      </c>
      <c r="B22" s="50" t="inlineStr">
        <is>
          <t>Reifenwechsel</t>
        </is>
      </c>
      <c r="C22" s="48" t="n">
        <v>0</v>
      </c>
      <c r="D22" s="48" t="n">
        <v>80000</v>
      </c>
      <c r="E22" s="61" t="inlineStr">
        <is>
          <t>Profil &amp; Druck wöchentlich kontrollieren.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BFBFBF"/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22" customWidth="1" min="3" max="3"/>
    <col width="22" customWidth="1" min="4" max="4"/>
    <col width="18" customWidth="1" min="5" max="5"/>
    <col width="18" customWidth="1" min="6" max="6"/>
  </cols>
  <sheetData>
    <row r="1" ht="36" customHeight="1">
      <c r="A1" s="64" t="inlineStr">
        <is>
          <t>AUSWAHLLISTEN  (für Dropdown-Menüs)</t>
        </is>
      </c>
    </row>
    <row r="2" ht="18" customHeight="1">
      <c r="A2" s="2" t="inlineStr">
        <is>
          <t>Bei Bedarf erweitern – die Dropdowns aktualisieren sich automatisch.</t>
        </is>
      </c>
    </row>
    <row r="3" ht="26" customHeight="1">
      <c r="A3" s="37" t="inlineStr">
        <is>
          <t>Fahrzeugtyp</t>
        </is>
      </c>
      <c r="B3" s="37" t="inlineStr">
        <is>
          <t>Wartungsart</t>
        </is>
      </c>
      <c r="C3" s="37" t="inlineStr">
        <is>
          <t>Status</t>
        </is>
      </c>
      <c r="D3" s="37" t="inlineStr">
        <is>
          <t>Kostenkategorie</t>
        </is>
      </c>
      <c r="E3" s="37" t="inlineStr">
        <is>
          <t>Kraftstoff</t>
        </is>
      </c>
      <c r="F3" s="37" t="inlineStr">
        <is>
          <t>Vertragsart</t>
        </is>
      </c>
    </row>
    <row r="4">
      <c r="A4" s="61" t="inlineStr">
        <is>
          <t>PKW</t>
        </is>
      </c>
      <c r="B4" s="61" t="inlineStr">
        <is>
          <t>Inspektion</t>
        </is>
      </c>
      <c r="C4" s="61" t="inlineStr">
        <is>
          <t>Aktiv</t>
        </is>
      </c>
      <c r="D4" s="61" t="inlineStr">
        <is>
          <t>Wartung</t>
        </is>
      </c>
      <c r="E4" s="61" t="inlineStr">
        <is>
          <t>Diesel</t>
        </is>
      </c>
      <c r="F4" s="61" t="inlineStr">
        <is>
          <t>Leasing</t>
        </is>
      </c>
    </row>
    <row r="5">
      <c r="A5" s="40" t="inlineStr">
        <is>
          <t>Transporter</t>
        </is>
      </c>
      <c r="B5" s="40" t="inlineStr">
        <is>
          <t>Ölwechsel</t>
        </is>
      </c>
      <c r="C5" s="40" t="inlineStr">
        <is>
          <t>In Werkstatt</t>
        </is>
      </c>
      <c r="D5" s="40" t="inlineStr">
        <is>
          <t>Reparatur</t>
        </is>
      </c>
      <c r="E5" s="40" t="inlineStr">
        <is>
          <t>Benzin</t>
        </is>
      </c>
      <c r="F5" s="40" t="inlineStr">
        <is>
          <t>Finanzierung</t>
        </is>
      </c>
    </row>
    <row r="6">
      <c r="A6" s="61" t="inlineStr">
        <is>
          <t>LKW</t>
        </is>
      </c>
      <c r="B6" s="61" t="inlineStr">
        <is>
          <t>HU/AU (TÜV)</t>
        </is>
      </c>
      <c r="C6" s="61" t="inlineStr">
        <is>
          <t>Stillgelegt</t>
        </is>
      </c>
      <c r="D6" s="61" t="inlineStr">
        <is>
          <t>Reifen</t>
        </is>
      </c>
      <c r="E6" s="61" t="inlineStr">
        <is>
          <t>Elektro</t>
        </is>
      </c>
      <c r="F6" s="61" t="inlineStr">
        <is>
          <t>Kauf (Eigentum)</t>
        </is>
      </c>
    </row>
    <row r="7">
      <c r="A7" s="40" t="inlineStr">
        <is>
          <t>Anhänger</t>
        </is>
      </c>
      <c r="B7" s="40" t="inlineStr">
        <is>
          <t>Reifenwechsel</t>
        </is>
      </c>
      <c r="C7" s="40" t="inlineStr">
        <is>
          <t>Verkauft</t>
        </is>
      </c>
      <c r="D7" s="40" t="inlineStr">
        <is>
          <t>TÜV/HU</t>
        </is>
      </c>
      <c r="E7" s="40" t="inlineStr">
        <is>
          <t>Hybrid</t>
        </is>
      </c>
      <c r="F7" s="40" t="inlineStr">
        <is>
          <t>Langzeitmiete</t>
        </is>
      </c>
    </row>
    <row r="8">
      <c r="A8" s="61" t="inlineStr">
        <is>
          <t>Sonstiges</t>
        </is>
      </c>
      <c r="B8" s="61" t="inlineStr">
        <is>
          <t>Bremsen</t>
        </is>
      </c>
      <c r="D8" s="61" t="inlineStr">
        <is>
          <t>Versicherung</t>
        </is>
      </c>
      <c r="E8" s="61" t="inlineStr">
        <is>
          <t>LPG/CNG</t>
        </is>
      </c>
    </row>
    <row r="9">
      <c r="B9" s="40" t="inlineStr">
        <is>
          <t>Zahnriemen</t>
        </is>
      </c>
      <c r="D9" s="40" t="inlineStr">
        <is>
          <t>Kraftstoff</t>
        </is>
      </c>
      <c r="E9" s="40" t="inlineStr">
        <is>
          <t>Wasserstoff</t>
        </is>
      </c>
    </row>
    <row r="10">
      <c r="B10" s="61" t="inlineStr">
        <is>
          <t>Klimaservice</t>
        </is>
      </c>
      <c r="D10" s="61" t="inlineStr">
        <is>
          <t>Steuer</t>
        </is>
      </c>
    </row>
    <row r="11">
      <c r="B11" s="40" t="inlineStr">
        <is>
          <t>Batterie</t>
        </is>
      </c>
      <c r="D11" s="40" t="inlineStr">
        <is>
          <t>Sonstiges</t>
        </is>
      </c>
    </row>
    <row r="12">
      <c r="B12" s="61" t="inlineStr">
        <is>
          <t>Kühlmittel</t>
        </is>
      </c>
    </row>
    <row r="13">
      <c r="B13" s="40" t="inlineStr">
        <is>
          <t>Filterwechsel</t>
        </is>
      </c>
    </row>
    <row r="14">
      <c r="B14" s="61" t="inlineStr">
        <is>
          <t>SP (Sicherheitsprüfung)</t>
        </is>
      </c>
    </row>
    <row r="15">
      <c r="B15" s="40" t="inlineStr">
        <is>
          <t>Tachograph</t>
        </is>
      </c>
    </row>
    <row r="16">
      <c r="B16" s="61" t="inlineStr">
        <is>
          <t>Sonstiges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2026-06-13T18:10:13Z</dcterms:created>
  <dcterms:modified xsi:type="dcterms:W3CDTF">2026-06-13T18:10:14Z</dcterms:modified>
</cp:coreProperties>
</file>